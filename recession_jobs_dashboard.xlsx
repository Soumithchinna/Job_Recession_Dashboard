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oumi\OneDrive\Desktop\"/>
    </mc:Choice>
  </mc:AlternateContent>
  <xr:revisionPtr revIDLastSave="0" documentId="13_ncr:1_{66A15380-FF23-4628-9D10-281111793168}" xr6:coauthVersionLast="47" xr6:coauthVersionMax="47" xr10:uidLastSave="{00000000-0000-0000-0000-000000000000}"/>
  <bookViews>
    <workbookView minimized="1" xWindow="5115" yWindow="3015" windowWidth="15375" windowHeight="7785" xr2:uid="{00000000-000D-0000-FFFF-FFFF00000000}"/>
  </bookViews>
  <sheets>
    <sheet name="Recession Jobs Data" sheetId="1" r:id="rId1"/>
    <sheet name="Dashboard" sheetId="2" r:id="rId2"/>
    <sheet name="Industry Dashboard" sheetId="5" r:id="rId3"/>
    <sheet name="Trends_dashboard" sheetId="6" r:id="rId4"/>
    <sheet name="Workforce_dashboard" sheetId="7" r:id="rId5"/>
    <sheet name="About" sheetId="8" r:id="rId6"/>
    <sheet name="pivot_tabels" sheetId="3" r:id="rId7"/>
    <sheet name="Sheet1" sheetId="9" r:id="rId8"/>
  </sheets>
  <definedNames>
    <definedName name="Slicer_Company_Size">#N/A</definedName>
    <definedName name="Slicer_Country">#N/A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3"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 i="1"/>
  <c r="C52" i="3"/>
  <c r="C92" i="3"/>
  <c r="B2" i="3"/>
  <c r="B6" i="3"/>
  <c r="B21" i="3"/>
</calcChain>
</file>

<file path=xl/sharedStrings.xml><?xml version="1.0" encoding="utf-8"?>
<sst xmlns="http://schemas.openxmlformats.org/spreadsheetml/2006/main" count="688" uniqueCount="39">
  <si>
    <t>Year</t>
  </si>
  <si>
    <t>Country</t>
  </si>
  <si>
    <t>Industry</t>
  </si>
  <si>
    <t>Company_Size</t>
  </si>
  <si>
    <t>Before_Jobs</t>
  </si>
  <si>
    <t>After_Jobs</t>
  </si>
  <si>
    <t>Job_Change_%</t>
  </si>
  <si>
    <t>Before_Salary</t>
  </si>
  <si>
    <t>After_Salary</t>
  </si>
  <si>
    <t>Salary_Change_%</t>
  </si>
  <si>
    <t>Unemployment_Rate</t>
  </si>
  <si>
    <t>GDP_Growth</t>
  </si>
  <si>
    <t>Layoffs</t>
  </si>
  <si>
    <t>Hiring_Rate</t>
  </si>
  <si>
    <t>USA</t>
  </si>
  <si>
    <t>Healthcare</t>
  </si>
  <si>
    <t>Large</t>
  </si>
  <si>
    <t>UK</t>
  </si>
  <si>
    <t>Retail</t>
  </si>
  <si>
    <t>Germany</t>
  </si>
  <si>
    <t>Finance</t>
  </si>
  <si>
    <t>Small</t>
  </si>
  <si>
    <t>IT</t>
  </si>
  <si>
    <t>India</t>
  </si>
  <si>
    <t>Manufacturing</t>
  </si>
  <si>
    <t>Medium</t>
  </si>
  <si>
    <t>Sum of Layoffs</t>
  </si>
  <si>
    <t>Average of Salary_Change_%</t>
  </si>
  <si>
    <t>Row Labels</t>
  </si>
  <si>
    <t>Grand Total</t>
  </si>
  <si>
    <t>Average of Job_Change_%</t>
  </si>
  <si>
    <t>Average of Unemployment_Rate</t>
  </si>
  <si>
    <t>Sum of Hiring_Rate</t>
  </si>
  <si>
    <t>Trends Dashboard purpose</t>
  </si>
  <si>
    <t>Industry Dashboard</t>
  </si>
  <si>
    <t>Sum of Before_Jobs</t>
  </si>
  <si>
    <t>Sum of After_Jobs</t>
  </si>
  <si>
    <t>Worforce Breakdown</t>
  </si>
  <si>
    <t>Average of Hiring_Rate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</si>
</sst>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9" fontId="0" fillId="0" borderId="0" xfId="1" applyFont="1"/>
    <xf numFmtId="10" fontId="0" fillId="0" borderId="0" xfId="0" applyNumberFormat="1"/>
    <xf numFmtId="2" fontId="0" fillId="0" borderId="0" xfId="0" applyNumberFormat="1"/>
    <xf numFmtId="164" fontId="0" fillId="0" borderId="0" xfId="0" applyNumberFormat="1"/>
    <xf numFmtId="1" fontId="0" fillId="0" borderId="0" xfId="0" applyNumberFormat="1"/>
    <xf numFmtId="3" fontId="0" fillId="0" borderId="0" xfId="0" applyNumberFormat="1"/>
    <xf numFmtId="4" fontId="0" fillId="0" borderId="0" xfId="0" applyNumberFormat="1"/>
    <xf numFmtId="0" fontId="0" fillId="0" borderId="0" xfId="0" pivotButton="1"/>
    <xf numFmtId="0" fontId="0" fillId="0" borderId="0" xfId="0" applyAlignment="1">
      <alignment horizontal="left"/>
    </xf>
    <xf numFmtId="9" fontId="0" fillId="0" borderId="0" xfId="0" applyNumberFormat="1"/>
  </cellXfs>
  <cellStyles count="2">
    <cellStyle name="Normal" xfId="0" builtinId="0"/>
    <cellStyle name="Percent" xfId="1" builtinId="5"/>
  </cellStyles>
  <dxfs count="12">
    <dxf>
      <numFmt numFmtId="3" formatCode="#,##0"/>
    </dxf>
    <dxf>
      <numFmt numFmtId="4" formatCode="#,##0.00"/>
    </dxf>
    <dxf>
      <numFmt numFmtId="1" formatCode="0"/>
    </dxf>
    <dxf>
      <numFmt numFmtId="3" formatCode="#,##0"/>
    </dxf>
    <dxf>
      <numFmt numFmtId="1" formatCode="0"/>
    </dxf>
    <dxf>
      <numFmt numFmtId="2" formatCode="0.00"/>
    </dxf>
    <dxf>
      <numFmt numFmtId="13" formatCode="0%"/>
    </dxf>
    <dxf>
      <numFmt numFmtId="14" formatCode="0.00%"/>
    </dxf>
    <dxf>
      <numFmt numFmtId="2" formatCode="0.00"/>
    </dxf>
    <dxf>
      <numFmt numFmtId="1" formatCode="0"/>
    </dxf>
    <dxf>
      <font>
        <b val="0"/>
        <i val="0"/>
        <strike val="0"/>
        <condense val="0"/>
        <extend val="0"/>
        <outline val="0"/>
        <shadow val="0"/>
        <u val="none"/>
        <vertAlign val="baseline"/>
        <sz val="11"/>
        <color theme="1"/>
        <name val="Calibri"/>
        <family val="2"/>
        <scheme val="minor"/>
      </font>
    </dxf>
    <dxf>
      <numFmt numFmtId="1" formatCode="0"/>
    </dxf>
  </dxfs>
  <tableStyles count="0" defaultTableStyle="TableStyleMedium9" defaultPivotStyle="PivotStyleLight16"/>
  <colors>
    <mruColors>
      <color rgb="FFCBE2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pivot_tabels!$E$2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pivot_tabels!$D$3:$D$8</c:f>
              <c:strCache>
                <c:ptCount val="5"/>
                <c:pt idx="0">
                  <c:v>IT</c:v>
                </c:pt>
                <c:pt idx="1">
                  <c:v>Manufacturing</c:v>
                </c:pt>
                <c:pt idx="2">
                  <c:v>Retail</c:v>
                </c:pt>
                <c:pt idx="3">
                  <c:v>Finance</c:v>
                </c:pt>
                <c:pt idx="4">
                  <c:v>Healthcare</c:v>
                </c:pt>
              </c:strCache>
            </c:strRef>
          </c:cat>
          <c:val>
            <c:numRef>
              <c:f>pivot_tabels!$E$3:$E$8</c:f>
              <c:numCache>
                <c:formatCode>0%</c:formatCode>
                <c:ptCount val="5"/>
                <c:pt idx="0">
                  <c:v>-0.1139377146163988</c:v>
                </c:pt>
                <c:pt idx="1">
                  <c:v>-0.11967006447824285</c:v>
                </c:pt>
                <c:pt idx="2">
                  <c:v>-0.14948629746524969</c:v>
                </c:pt>
                <c:pt idx="3">
                  <c:v>-0.15578134488508663</c:v>
                </c:pt>
                <c:pt idx="4">
                  <c:v>-0.16174192913646868</c:v>
                </c:pt>
              </c:numCache>
            </c:numRef>
          </c:val>
          <c:extLst>
            <c:ext xmlns:c16="http://schemas.microsoft.com/office/drawing/2014/chart" uri="{C3380CC4-5D6E-409C-BE32-E72D297353CC}">
              <c16:uniqueId val="{00000000-7142-4873-9412-25F429E7D1E1}"/>
            </c:ext>
          </c:extLst>
        </c:ser>
        <c:dLbls>
          <c:dLblPos val="outEnd"/>
          <c:showLegendKey val="0"/>
          <c:showVal val="1"/>
          <c:showCatName val="0"/>
          <c:showSerName val="0"/>
          <c:showPercent val="0"/>
          <c:showBubbleSize val="0"/>
        </c:dLbls>
        <c:gapWidth val="182"/>
        <c:axId val="717564559"/>
        <c:axId val="717553519"/>
      </c:barChart>
      <c:catAx>
        <c:axId val="717564559"/>
        <c:scaling>
          <c:orientation val="minMax"/>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outerShdw blurRad="50800" dist="50800" dir="5400000" sx="38000" sy="38000" algn="ctr" rotWithShape="0">
                    <a:srgbClr val="000000">
                      <a:alpha val="43137"/>
                    </a:srgbClr>
                  </a:outerShdw>
                </a:effectLst>
                <a:latin typeface="+mn-lt"/>
                <a:ea typeface="+mn-ea"/>
                <a:cs typeface="+mn-cs"/>
              </a:defRPr>
            </a:pPr>
            <a:endParaRPr lang="en-US"/>
          </a:p>
        </c:txPr>
        <c:crossAx val="717553519"/>
        <c:crosses val="autoZero"/>
        <c:auto val="1"/>
        <c:lblAlgn val="ctr"/>
        <c:lblOffset val="100"/>
        <c:noMultiLvlLbl val="0"/>
      </c:catAx>
      <c:valAx>
        <c:axId val="717553519"/>
        <c:scaling>
          <c:orientation val="minMax"/>
        </c:scaling>
        <c:delete val="1"/>
        <c:axPos val="b"/>
        <c:numFmt formatCode="0%" sourceLinked="1"/>
        <c:majorTickMark val="out"/>
        <c:minorTickMark val="none"/>
        <c:tickLblPos val="nextTo"/>
        <c:crossAx val="717564559"/>
        <c:crosses val="autoZero"/>
        <c:crossBetween val="between"/>
      </c:valAx>
      <c:spPr>
        <a:solidFill>
          <a:schemeClr val="bg1"/>
        </a:solidFill>
        <a:ln>
          <a:solidFill>
            <a:schemeClr val="bg2">
              <a:lumMod val="9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[recession_jobs_dataset.xlsx]pivot_tabels!PivotTable9</c:name>
    <c:fmtId val="38"/>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doughnutChart>
        <c:varyColors val="1"/>
        <c:ser>
          <c:idx val="0"/>
          <c:order val="0"/>
          <c:tx>
            <c:strRef>
              <c:f>pivot_tabels!$O$1</c:f>
              <c:strCache>
                <c:ptCount val="1"/>
                <c:pt idx="0">
                  <c:v>Total</c:v>
                </c:pt>
              </c:strCache>
            </c:strRef>
          </c:tx>
          <c:dPt>
            <c:idx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F350-4BBC-9783-DC9C40F206DE}"/>
              </c:ext>
            </c:extLst>
          </c:dPt>
          <c:dPt>
            <c:idx val="1"/>
            <c:bubble3D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F350-4BBC-9783-DC9C40F206DE}"/>
              </c:ext>
            </c:extLst>
          </c:dPt>
          <c:dPt>
            <c:idx val="2"/>
            <c:bubble3D val="0"/>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F350-4BBC-9783-DC9C40F206DE}"/>
              </c:ext>
            </c:extLst>
          </c:dPt>
          <c:dPt>
            <c:idx val="3"/>
            <c:bubble3D val="0"/>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F350-4BBC-9783-DC9C40F206D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pivot_tabels!$N$2:$N$6</c:f>
              <c:strCache>
                <c:ptCount val="4"/>
                <c:pt idx="0">
                  <c:v>USA</c:v>
                </c:pt>
                <c:pt idx="1">
                  <c:v>UK</c:v>
                </c:pt>
                <c:pt idx="2">
                  <c:v>Germany</c:v>
                </c:pt>
                <c:pt idx="3">
                  <c:v>India</c:v>
                </c:pt>
              </c:strCache>
            </c:strRef>
          </c:cat>
          <c:val>
            <c:numRef>
              <c:f>pivot_tabels!$O$2:$O$6</c:f>
              <c:numCache>
                <c:formatCode>#,##0</c:formatCode>
                <c:ptCount val="4"/>
                <c:pt idx="0">
                  <c:v>9475</c:v>
                </c:pt>
                <c:pt idx="1">
                  <c:v>8703</c:v>
                </c:pt>
                <c:pt idx="2">
                  <c:v>6978</c:v>
                </c:pt>
                <c:pt idx="3">
                  <c:v>3279</c:v>
                </c:pt>
              </c:numCache>
            </c:numRef>
          </c:val>
          <c:extLst>
            <c:ext xmlns:c16="http://schemas.microsoft.com/office/drawing/2014/chart" uri="{C3380CC4-5D6E-409C-BE32-E72D297353CC}">
              <c16:uniqueId val="{00000008-F350-4BBC-9783-DC9C40F206D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[recession_jobs_dataset.xlsx]pivot_tabels!PivotTable8</c:name>
    <c:fmtId val="2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pivot_tabels!$H$2</c:f>
              <c:strCache>
                <c:ptCount val="1"/>
                <c:pt idx="0">
                  <c:v>Sum of Layoffs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pivot_tabels!$G$3:$G$7</c:f>
              <c:strCache>
                <c:ptCount val="4"/>
                <c:pt idx="0">
                  <c:v>2008</c:v>
                </c:pt>
                <c:pt idx="1">
                  <c:v>2009</c:v>
                </c:pt>
                <c:pt idx="2">
                  <c:v>2020</c:v>
                </c:pt>
                <c:pt idx="3">
                  <c:v>2021</c:v>
                </c:pt>
              </c:strCache>
            </c:strRef>
          </c:cat>
          <c:val>
            <c:numRef>
              <c:f>pivot_tabels!$H$3:$H$7</c:f>
              <c:numCache>
                <c:formatCode>0.00</c:formatCode>
                <c:ptCount val="4"/>
                <c:pt idx="0">
                  <c:v>5429</c:v>
                </c:pt>
                <c:pt idx="1">
                  <c:v>5941</c:v>
                </c:pt>
                <c:pt idx="2">
                  <c:v>8594</c:v>
                </c:pt>
                <c:pt idx="3">
                  <c:v>8471</c:v>
                </c:pt>
              </c:numCache>
            </c:numRef>
          </c:val>
          <c:smooth val="0"/>
          <c:extLst>
            <c:ext xmlns:c16="http://schemas.microsoft.com/office/drawing/2014/chart" uri="{C3380CC4-5D6E-409C-BE32-E72D297353CC}">
              <c16:uniqueId val="{00000000-A16D-4C7E-AA1B-E52FCFD4715A}"/>
            </c:ext>
          </c:extLst>
        </c:ser>
        <c:ser>
          <c:idx val="1"/>
          <c:order val="1"/>
          <c:tx>
            <c:strRef>
              <c:f>pivot_tabels!$I$2</c:f>
              <c:strCache>
                <c:ptCount val="1"/>
                <c:pt idx="0">
                  <c:v>Sum of Hiring_Rate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pivot_tabels!$G$3:$G$7</c:f>
              <c:strCache>
                <c:ptCount val="4"/>
                <c:pt idx="0">
                  <c:v>2008</c:v>
                </c:pt>
                <c:pt idx="1">
                  <c:v>2009</c:v>
                </c:pt>
                <c:pt idx="2">
                  <c:v>2020</c:v>
                </c:pt>
                <c:pt idx="3">
                  <c:v>2021</c:v>
                </c:pt>
              </c:strCache>
            </c:strRef>
          </c:cat>
          <c:val>
            <c:numRef>
              <c:f>pivot_tabels!$I$3:$I$7</c:f>
              <c:numCache>
                <c:formatCode>0</c:formatCode>
                <c:ptCount val="4"/>
                <c:pt idx="0">
                  <c:v>4858</c:v>
                </c:pt>
                <c:pt idx="1">
                  <c:v>4246</c:v>
                </c:pt>
                <c:pt idx="2">
                  <c:v>4985</c:v>
                </c:pt>
                <c:pt idx="3">
                  <c:v>5724</c:v>
                </c:pt>
              </c:numCache>
            </c:numRef>
          </c:val>
          <c:smooth val="0"/>
          <c:extLst>
            <c:ext xmlns:c16="http://schemas.microsoft.com/office/drawing/2014/chart" uri="{C3380CC4-5D6E-409C-BE32-E72D297353CC}">
              <c16:uniqueId val="{00000001-A16D-4C7E-AA1B-E52FCFD4715A}"/>
            </c:ext>
          </c:extLst>
        </c:ser>
        <c:dLbls>
          <c:dLblPos val="ctr"/>
          <c:showLegendKey val="0"/>
          <c:showVal val="1"/>
          <c:showCatName val="0"/>
          <c:showSerName val="0"/>
          <c:showPercent val="0"/>
          <c:showBubbleSize val="0"/>
        </c:dLbls>
        <c:marker val="1"/>
        <c:smooth val="0"/>
        <c:axId val="717515599"/>
        <c:axId val="717523759"/>
      </c:lineChart>
      <c:catAx>
        <c:axId val="71751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23759"/>
        <c:crosses val="autoZero"/>
        <c:auto val="1"/>
        <c:lblAlgn val="ctr"/>
        <c:lblOffset val="100"/>
        <c:noMultiLvlLbl val="0"/>
      </c:catAx>
      <c:valAx>
        <c:axId val="717523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15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[recession_jobs_dataset.xlsx]pivot_tabels!PivotTable10</c:name>
    <c:fmtId val="5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pivot_tabels!$T$1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pivot_tabels!$S$2:$S$5</c:f>
              <c:strCache>
                <c:ptCount val="3"/>
                <c:pt idx="0">
                  <c:v>Medium</c:v>
                </c:pt>
                <c:pt idx="1">
                  <c:v>Small</c:v>
                </c:pt>
                <c:pt idx="2">
                  <c:v>Large</c:v>
                </c:pt>
              </c:strCache>
            </c:strRef>
          </c:cat>
          <c:val>
            <c:numRef>
              <c:f>pivot_tabels!$T$2:$T$5</c:f>
              <c:numCache>
                <c:formatCode>0%</c:formatCode>
                <c:ptCount val="3"/>
                <c:pt idx="0">
                  <c:v>-0.11600802888223091</c:v>
                </c:pt>
                <c:pt idx="1">
                  <c:v>-0.12657252650669748</c:v>
                </c:pt>
                <c:pt idx="2">
                  <c:v>-0.16984009040980277</c:v>
                </c:pt>
              </c:numCache>
            </c:numRef>
          </c:val>
          <c:extLst>
            <c:ext xmlns:c16="http://schemas.microsoft.com/office/drawing/2014/chart" uri="{C3380CC4-5D6E-409C-BE32-E72D297353CC}">
              <c16:uniqueId val="{00000000-CD23-44C5-A847-3388DFAF091E}"/>
            </c:ext>
          </c:extLst>
        </c:ser>
        <c:dLbls>
          <c:dLblPos val="outEnd"/>
          <c:showLegendKey val="0"/>
          <c:showVal val="1"/>
          <c:showCatName val="0"/>
          <c:showSerName val="0"/>
          <c:showPercent val="0"/>
          <c:showBubbleSize val="0"/>
        </c:dLbls>
        <c:gapWidth val="100"/>
        <c:overlap val="-24"/>
        <c:axId val="1369927344"/>
        <c:axId val="953793680"/>
      </c:barChart>
      <c:catAx>
        <c:axId val="1369927344"/>
        <c:scaling>
          <c:orientation val="minMax"/>
        </c:scaling>
        <c:delete val="0"/>
        <c:axPos val="b"/>
        <c:numFmt formatCode="General" sourceLinked="1"/>
        <c:majorTickMark val="none"/>
        <c:minorTickMark val="none"/>
        <c:tickLblPos val="high"/>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93680"/>
        <c:crosses val="autoZero"/>
        <c:auto val="1"/>
        <c:lblAlgn val="ctr"/>
        <c:lblOffset val="100"/>
        <c:noMultiLvlLbl val="0"/>
      </c:catAx>
      <c:valAx>
        <c:axId val="9537936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2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[recession_jobs_dataset.xlsx]pivot_tabels!PivotTable6</c:name>
    <c:fmtId val="1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pivot_tabels!$E$2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pivot_tabels!$D$3:$D$8</c:f>
              <c:strCache>
                <c:ptCount val="5"/>
                <c:pt idx="0">
                  <c:v>IT</c:v>
                </c:pt>
                <c:pt idx="1">
                  <c:v>Manufacturing</c:v>
                </c:pt>
                <c:pt idx="2">
                  <c:v>Retail</c:v>
                </c:pt>
                <c:pt idx="3">
                  <c:v>Finance</c:v>
                </c:pt>
                <c:pt idx="4">
                  <c:v>Healthcare</c:v>
                </c:pt>
              </c:strCache>
            </c:strRef>
          </c:cat>
          <c:val>
            <c:numRef>
              <c:f>pivot_tabels!$E$3:$E$8</c:f>
              <c:numCache>
                <c:formatCode>0%</c:formatCode>
                <c:ptCount val="5"/>
                <c:pt idx="0">
                  <c:v>-0.1139377146163988</c:v>
                </c:pt>
                <c:pt idx="1">
                  <c:v>-0.11967006447824285</c:v>
                </c:pt>
                <c:pt idx="2">
                  <c:v>-0.14948629746524969</c:v>
                </c:pt>
                <c:pt idx="3">
                  <c:v>-0.15578134488508663</c:v>
                </c:pt>
                <c:pt idx="4">
                  <c:v>-0.16174192913646868</c:v>
                </c:pt>
              </c:numCache>
            </c:numRef>
          </c:val>
          <c:extLst>
            <c:ext xmlns:c16="http://schemas.microsoft.com/office/drawing/2014/chart" uri="{C3380CC4-5D6E-409C-BE32-E72D297353CC}">
              <c16:uniqueId val="{00000000-0A25-439D-9194-0991EA1F1EC6}"/>
            </c:ext>
          </c:extLst>
        </c:ser>
        <c:dLbls>
          <c:dLblPos val="outEnd"/>
          <c:showLegendKey val="0"/>
          <c:showVal val="1"/>
          <c:showCatName val="0"/>
          <c:showSerName val="0"/>
          <c:showPercent val="0"/>
          <c:showBubbleSize val="0"/>
        </c:dLbls>
        <c:gapWidth val="115"/>
        <c:overlap val="-20"/>
        <c:axId val="717564559"/>
        <c:axId val="717553519"/>
      </c:barChart>
      <c:catAx>
        <c:axId val="717564559"/>
        <c:scaling>
          <c:orientation val="minMax"/>
        </c:scaling>
        <c:delete val="0"/>
        <c:axPos val="l"/>
        <c:numFmt formatCode="General" sourceLinked="1"/>
        <c:majorTickMark val="none"/>
        <c:minorTickMark val="none"/>
        <c:tickLblPos val="high"/>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553519"/>
        <c:crosses val="autoZero"/>
        <c:auto val="1"/>
        <c:lblAlgn val="ctr"/>
        <c:lblOffset val="100"/>
        <c:noMultiLvlLbl val="0"/>
      </c:catAx>
      <c:valAx>
        <c:axId val="717553519"/>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56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[recession_jobs_dataset.xlsx]pivot_tabels!PivotTable2</c:name>
    <c:fmtId val="23"/>
  </c:pivotSource>
  <c:chart>
    <c:title>
      <c:layout>
        <c:manualLayout>
          <c:xMode val="edge"/>
          <c:yMode val="edge"/>
          <c:x val="0.83978455818022757"/>
          <c:y val="0.8924978127734033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pivot_tabels!$B$30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pivot_tabels!$A$31:$A$36</c:f>
              <c:strCache>
                <c:ptCount val="5"/>
                <c:pt idx="0">
                  <c:v>IT</c:v>
                </c:pt>
                <c:pt idx="1">
                  <c:v>Finance</c:v>
                </c:pt>
                <c:pt idx="2">
                  <c:v>Healthcare</c:v>
                </c:pt>
                <c:pt idx="3">
                  <c:v>Retail</c:v>
                </c:pt>
                <c:pt idx="4">
                  <c:v>Manufacturing</c:v>
                </c:pt>
              </c:strCache>
            </c:strRef>
          </c:cat>
          <c:val>
            <c:numRef>
              <c:f>pivot_tabels!$B$31:$B$36</c:f>
              <c:numCache>
                <c:formatCode>0.00%</c:formatCode>
                <c:ptCount val="5"/>
                <c:pt idx="0">
                  <c:v>-8.9372333065485837E-2</c:v>
                </c:pt>
                <c:pt idx="1">
                  <c:v>-9.3835621323550014E-2</c:v>
                </c:pt>
                <c:pt idx="2">
                  <c:v>-9.8710562695086948E-2</c:v>
                </c:pt>
                <c:pt idx="3">
                  <c:v>-9.8769346325693605E-2</c:v>
                </c:pt>
                <c:pt idx="4">
                  <c:v>-0.10472616211107498</c:v>
                </c:pt>
              </c:numCache>
            </c:numRef>
          </c:val>
          <c:extLst>
            <c:ext xmlns:c16="http://schemas.microsoft.com/office/drawing/2014/chart" uri="{C3380CC4-5D6E-409C-BE32-E72D297353CC}">
              <c16:uniqueId val="{00000000-042E-4AC7-8541-48DDBF2E3100}"/>
            </c:ext>
          </c:extLst>
        </c:ser>
        <c:dLbls>
          <c:showLegendKey val="0"/>
          <c:showVal val="1"/>
          <c:showCatName val="0"/>
          <c:showSerName val="0"/>
          <c:showPercent val="0"/>
          <c:showBubbleSize val="0"/>
        </c:dLbls>
        <c:gapWidth val="150"/>
        <c:shape val="box"/>
        <c:axId val="576364687"/>
        <c:axId val="576365167"/>
        <c:axId val="673641935"/>
      </c:bar3DChart>
      <c:catAx>
        <c:axId val="576364687"/>
        <c:scaling>
          <c:orientation val="minMax"/>
        </c:scaling>
        <c:delete val="0"/>
        <c:axPos val="b"/>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365167"/>
        <c:crosses val="autoZero"/>
        <c:auto val="1"/>
        <c:lblAlgn val="ctr"/>
        <c:lblOffset val="100"/>
        <c:noMultiLvlLbl val="0"/>
      </c:catAx>
      <c:valAx>
        <c:axId val="576365167"/>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364687"/>
        <c:crosses val="autoZero"/>
        <c:crossBetween val="between"/>
      </c:valAx>
      <c:serAx>
        <c:axId val="67364193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3651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[recession_jobs_dataset.xlsx]pivot_tabels!PivotTable7</c:name>
    <c:fmtId val="47"/>
  </c:pivotSource>
  <c:chart>
    <c:autoTitleDeleted val="0"/>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pivot_tabels!$B$41</c:f>
              <c:strCache>
                <c:ptCount val="1"/>
                <c:pt idx="0">
                  <c:v>Sum of Layoffs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pivot_tabels!$A$42:$A$46</c:f>
              <c:strCache>
                <c:ptCount val="4"/>
                <c:pt idx="0">
                  <c:v>2008</c:v>
                </c:pt>
                <c:pt idx="1">
                  <c:v>2009</c:v>
                </c:pt>
                <c:pt idx="2">
                  <c:v>2020</c:v>
                </c:pt>
                <c:pt idx="3">
                  <c:v>2021</c:v>
                </c:pt>
              </c:strCache>
            </c:strRef>
          </c:cat>
          <c:val>
            <c:numRef>
              <c:f>pivot_tabels!$B$42:$B$46</c:f>
              <c:numCache>
                <c:formatCode>0</c:formatCode>
                <c:ptCount val="4"/>
                <c:pt idx="0">
                  <c:v>5429</c:v>
                </c:pt>
                <c:pt idx="1">
                  <c:v>5941</c:v>
                </c:pt>
                <c:pt idx="2">
                  <c:v>8594</c:v>
                </c:pt>
                <c:pt idx="3">
                  <c:v>8471</c:v>
                </c:pt>
              </c:numCache>
            </c:numRef>
          </c:val>
          <c:smooth val="0"/>
          <c:extLst>
            <c:ext xmlns:c16="http://schemas.microsoft.com/office/drawing/2014/chart" uri="{C3380CC4-5D6E-409C-BE32-E72D297353CC}">
              <c16:uniqueId val="{00000000-9546-409C-900A-446D3B9385ED}"/>
            </c:ext>
          </c:extLst>
        </c:ser>
        <c:ser>
          <c:idx val="1"/>
          <c:order val="1"/>
          <c:tx>
            <c:strRef>
              <c:f>pivot_tabels!$C$41</c:f>
              <c:strCache>
                <c:ptCount val="1"/>
                <c:pt idx="0">
                  <c:v>Sum of Hiring_Rate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pivot_tabels!$A$42:$A$46</c:f>
              <c:strCache>
                <c:ptCount val="4"/>
                <c:pt idx="0">
                  <c:v>2008</c:v>
                </c:pt>
                <c:pt idx="1">
                  <c:v>2009</c:v>
                </c:pt>
                <c:pt idx="2">
                  <c:v>2020</c:v>
                </c:pt>
                <c:pt idx="3">
                  <c:v>2021</c:v>
                </c:pt>
              </c:strCache>
            </c:strRef>
          </c:cat>
          <c:val>
            <c:numRef>
              <c:f>pivot_tabels!$C$42:$C$46</c:f>
              <c:numCache>
                <c:formatCode>0</c:formatCode>
                <c:ptCount val="4"/>
                <c:pt idx="0">
                  <c:v>4858</c:v>
                </c:pt>
                <c:pt idx="1">
                  <c:v>4246</c:v>
                </c:pt>
                <c:pt idx="2">
                  <c:v>4985</c:v>
                </c:pt>
                <c:pt idx="3">
                  <c:v>5724</c:v>
                </c:pt>
              </c:numCache>
            </c:numRef>
          </c:val>
          <c:smooth val="0"/>
          <c:extLst>
            <c:ext xmlns:c16="http://schemas.microsoft.com/office/drawing/2014/chart" uri="{C3380CC4-5D6E-409C-BE32-E72D297353CC}">
              <c16:uniqueId val="{00000001-9546-409C-900A-446D3B9385ED}"/>
            </c:ext>
          </c:extLst>
        </c:ser>
        <c:dLbls>
          <c:dLblPos val="b"/>
          <c:showLegendKey val="0"/>
          <c:showVal val="1"/>
          <c:showCatName val="0"/>
          <c:showSerName val="0"/>
          <c:showPercent val="0"/>
          <c:showBubbleSize val="0"/>
        </c:dLbls>
        <c:marker val="1"/>
        <c:smooth val="0"/>
        <c:axId val="614887487"/>
        <c:axId val="614894207"/>
      </c:lineChart>
      <c:catAx>
        <c:axId val="61488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894207"/>
        <c:crosses val="autoZero"/>
        <c:auto val="1"/>
        <c:lblAlgn val="ctr"/>
        <c:lblOffset val="100"/>
        <c:noMultiLvlLbl val="0"/>
      </c:catAx>
      <c:valAx>
        <c:axId val="614894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88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[recession_jobs_dataset.xlsx]pivot_tabels!PivotTable15</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46981627296589"/>
          <c:y val="0.12860892388451445"/>
          <c:w val="0.58599715660542429"/>
          <c:h val="0.49586358996792068"/>
        </c:manualLayout>
      </c:layout>
      <c:bar3DChart>
        <c:barDir val="col"/>
        <c:grouping val="stacked"/>
        <c:varyColors val="0"/>
        <c:ser>
          <c:idx val="0"/>
          <c:order val="0"/>
          <c:tx>
            <c:strRef>
              <c:f>pivot_tabels!$B$60</c:f>
              <c:strCache>
                <c:ptCount val="1"/>
                <c:pt idx="0">
                  <c:v>Sum of Before_Jobs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pivot_tabels!$A$61:$A$66</c:f>
              <c:strCache>
                <c:ptCount val="5"/>
                <c:pt idx="0">
                  <c:v>Finance</c:v>
                </c:pt>
                <c:pt idx="1">
                  <c:v>Healthcare</c:v>
                </c:pt>
                <c:pt idx="2">
                  <c:v>IT</c:v>
                </c:pt>
                <c:pt idx="3">
                  <c:v>Manufacturing</c:v>
                </c:pt>
                <c:pt idx="4">
                  <c:v>Retail</c:v>
                </c:pt>
              </c:strCache>
            </c:strRef>
          </c:cat>
          <c:val>
            <c:numRef>
              <c:f>pivot_tabels!$B$61:$B$66</c:f>
              <c:numCache>
                <c:formatCode>0</c:formatCode>
                <c:ptCount val="5"/>
                <c:pt idx="0">
                  <c:v>103083</c:v>
                </c:pt>
                <c:pt idx="1">
                  <c:v>90516</c:v>
                </c:pt>
                <c:pt idx="2">
                  <c:v>159865</c:v>
                </c:pt>
                <c:pt idx="3">
                  <c:v>97657</c:v>
                </c:pt>
                <c:pt idx="4">
                  <c:v>106011</c:v>
                </c:pt>
              </c:numCache>
            </c:numRef>
          </c:val>
          <c:extLst>
            <c:ext xmlns:c16="http://schemas.microsoft.com/office/drawing/2014/chart" uri="{C3380CC4-5D6E-409C-BE32-E72D297353CC}">
              <c16:uniqueId val="{00000000-7CD9-434B-840B-21033E45DBB0}"/>
            </c:ext>
          </c:extLst>
        </c:ser>
        <c:ser>
          <c:idx val="1"/>
          <c:order val="1"/>
          <c:tx>
            <c:strRef>
              <c:f>pivot_tabels!$C$60</c:f>
              <c:strCache>
                <c:ptCount val="1"/>
                <c:pt idx="0">
                  <c:v>Sum of After_Jobs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pivot_tabels!$A$61:$A$66</c:f>
              <c:strCache>
                <c:ptCount val="5"/>
                <c:pt idx="0">
                  <c:v>Finance</c:v>
                </c:pt>
                <c:pt idx="1">
                  <c:v>Healthcare</c:v>
                </c:pt>
                <c:pt idx="2">
                  <c:v>IT</c:v>
                </c:pt>
                <c:pt idx="3">
                  <c:v>Manufacturing</c:v>
                </c:pt>
                <c:pt idx="4">
                  <c:v>Retail</c:v>
                </c:pt>
              </c:strCache>
            </c:strRef>
          </c:cat>
          <c:val>
            <c:numRef>
              <c:f>pivot_tabels!$C$61:$C$66</c:f>
              <c:numCache>
                <c:formatCode>General</c:formatCode>
                <c:ptCount val="5"/>
                <c:pt idx="0">
                  <c:v>91376</c:v>
                </c:pt>
                <c:pt idx="1">
                  <c:v>81204</c:v>
                </c:pt>
                <c:pt idx="2">
                  <c:v>145209</c:v>
                </c:pt>
                <c:pt idx="3">
                  <c:v>88910</c:v>
                </c:pt>
                <c:pt idx="4">
                  <c:v>96628</c:v>
                </c:pt>
              </c:numCache>
            </c:numRef>
          </c:val>
          <c:extLst>
            <c:ext xmlns:c16="http://schemas.microsoft.com/office/drawing/2014/chart" uri="{C3380CC4-5D6E-409C-BE32-E72D297353CC}">
              <c16:uniqueId val="{00000001-7CD9-434B-840B-21033E45DBB0}"/>
            </c:ext>
          </c:extLst>
        </c:ser>
        <c:dLbls>
          <c:showLegendKey val="0"/>
          <c:showVal val="1"/>
          <c:showCatName val="0"/>
          <c:showSerName val="0"/>
          <c:showPercent val="0"/>
          <c:showBubbleSize val="0"/>
        </c:dLbls>
        <c:gapWidth val="150"/>
        <c:shape val="box"/>
        <c:axId val="700686831"/>
        <c:axId val="700683951"/>
        <c:axId val="0"/>
      </c:bar3DChart>
      <c:catAx>
        <c:axId val="700686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00683951"/>
        <c:crosses val="autoZero"/>
        <c:auto val="1"/>
        <c:lblAlgn val="ctr"/>
        <c:lblOffset val="100"/>
        <c:noMultiLvlLbl val="0"/>
      </c:catAx>
      <c:valAx>
        <c:axId val="70068395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8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[recession_jobs_dataset.xlsx]pivot_tabels!PivotTable16</c:name>
    <c:fmtId val="13"/>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pivot_tabels!$B$77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pivot_tabels!$A$78:$A$83</c:f>
              <c:strCache>
                <c:ptCount val="5"/>
                <c:pt idx="0">
                  <c:v>IT</c:v>
                </c:pt>
                <c:pt idx="1">
                  <c:v>Finance</c:v>
                </c:pt>
                <c:pt idx="2">
                  <c:v>Healthcare</c:v>
                </c:pt>
                <c:pt idx="3">
                  <c:v>Retail</c:v>
                </c:pt>
                <c:pt idx="4">
                  <c:v>Manufacturing</c:v>
                </c:pt>
              </c:strCache>
            </c:strRef>
          </c:cat>
          <c:val>
            <c:numRef>
              <c:f>pivot_tabels!$B$78:$B$83</c:f>
              <c:numCache>
                <c:formatCode>0.00%</c:formatCode>
                <c:ptCount val="5"/>
                <c:pt idx="0">
                  <c:v>-8.9372333065485837E-2</c:v>
                </c:pt>
                <c:pt idx="1">
                  <c:v>-9.3835621323550014E-2</c:v>
                </c:pt>
                <c:pt idx="2">
                  <c:v>-9.8710562695086948E-2</c:v>
                </c:pt>
                <c:pt idx="3">
                  <c:v>-9.8769346325693605E-2</c:v>
                </c:pt>
                <c:pt idx="4">
                  <c:v>-0.10472616211107498</c:v>
                </c:pt>
              </c:numCache>
            </c:numRef>
          </c:val>
          <c:extLst>
            <c:ext xmlns:c16="http://schemas.microsoft.com/office/drawing/2014/chart" uri="{C3380CC4-5D6E-409C-BE32-E72D297353CC}">
              <c16:uniqueId val="{00000000-F11B-45E9-A4D7-DD16D05D9240}"/>
            </c:ext>
          </c:extLst>
        </c:ser>
        <c:dLbls>
          <c:dLblPos val="ctr"/>
          <c:showLegendKey val="0"/>
          <c:showVal val="1"/>
          <c:showCatName val="0"/>
          <c:showSerName val="0"/>
          <c:showPercent val="0"/>
          <c:showBubbleSize val="0"/>
        </c:dLbls>
        <c:gapWidth val="79"/>
        <c:overlap val="100"/>
        <c:axId val="1078777567"/>
        <c:axId val="1078769887"/>
      </c:barChart>
      <c:catAx>
        <c:axId val="107877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78769887"/>
        <c:crosses val="autoZero"/>
        <c:auto val="1"/>
        <c:lblAlgn val="ctr"/>
        <c:lblOffset val="100"/>
        <c:noMultiLvlLbl val="0"/>
      </c:catAx>
      <c:valAx>
        <c:axId val="1078769887"/>
        <c:scaling>
          <c:orientation val="minMax"/>
        </c:scaling>
        <c:delete val="1"/>
        <c:axPos val="b"/>
        <c:numFmt formatCode="0.00%" sourceLinked="1"/>
        <c:majorTickMark val="none"/>
        <c:minorTickMark val="none"/>
        <c:tickLblPos val="nextTo"/>
        <c:crossAx val="107877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pivot_tabels!$E$2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pivot_tabels!$D$3:$D$8</c:f>
              <c:strCache>
                <c:ptCount val="5"/>
                <c:pt idx="0">
                  <c:v>IT</c:v>
                </c:pt>
                <c:pt idx="1">
                  <c:v>Manufacturing</c:v>
                </c:pt>
                <c:pt idx="2">
                  <c:v>Retail</c:v>
                </c:pt>
                <c:pt idx="3">
                  <c:v>Finance</c:v>
                </c:pt>
                <c:pt idx="4">
                  <c:v>Healthcare</c:v>
                </c:pt>
              </c:strCache>
            </c:strRef>
          </c:cat>
          <c:val>
            <c:numRef>
              <c:f>pivot_tabels!$E$3:$E$8</c:f>
              <c:numCache>
                <c:formatCode>0%</c:formatCode>
                <c:ptCount val="5"/>
                <c:pt idx="0">
                  <c:v>-0.1139377146163988</c:v>
                </c:pt>
                <c:pt idx="1">
                  <c:v>-0.11967006447824285</c:v>
                </c:pt>
                <c:pt idx="2">
                  <c:v>-0.14948629746524969</c:v>
                </c:pt>
                <c:pt idx="3">
                  <c:v>-0.15578134488508663</c:v>
                </c:pt>
                <c:pt idx="4">
                  <c:v>-0.16174192913646868</c:v>
                </c:pt>
              </c:numCache>
            </c:numRef>
          </c:val>
          <c:extLst>
            <c:ext xmlns:c16="http://schemas.microsoft.com/office/drawing/2014/chart" uri="{C3380CC4-5D6E-409C-BE32-E72D297353CC}">
              <c16:uniqueId val="{00000003-FFCC-4E6F-A075-7D0115C352F9}"/>
            </c:ext>
          </c:extLst>
        </c:ser>
        <c:dLbls>
          <c:dLblPos val="outEnd"/>
          <c:showLegendKey val="0"/>
          <c:showVal val="1"/>
          <c:showCatName val="0"/>
          <c:showSerName val="0"/>
          <c:showPercent val="0"/>
          <c:showBubbleSize val="0"/>
        </c:dLbls>
        <c:gapWidth val="182"/>
        <c:axId val="717564559"/>
        <c:axId val="717553519"/>
      </c:barChart>
      <c:catAx>
        <c:axId val="717564559"/>
        <c:scaling>
          <c:orientation val="minMax"/>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outerShdw blurRad="50800" dist="50800" dir="5400000" sx="38000" sy="38000" algn="ctr" rotWithShape="0">
                    <a:srgbClr val="000000">
                      <a:alpha val="43137"/>
                    </a:srgbClr>
                  </a:outerShdw>
                </a:effectLst>
                <a:latin typeface="+mn-lt"/>
                <a:ea typeface="+mn-ea"/>
                <a:cs typeface="+mn-cs"/>
              </a:defRPr>
            </a:pPr>
            <a:endParaRPr lang="en-US"/>
          </a:p>
        </c:txPr>
        <c:crossAx val="717553519"/>
        <c:crosses val="autoZero"/>
        <c:auto val="1"/>
        <c:lblAlgn val="ctr"/>
        <c:lblOffset val="100"/>
        <c:noMultiLvlLbl val="0"/>
      </c:catAx>
      <c:valAx>
        <c:axId val="717553519"/>
        <c:scaling>
          <c:orientation val="minMax"/>
        </c:scaling>
        <c:delete val="1"/>
        <c:axPos val="b"/>
        <c:numFmt formatCode="0%" sourceLinked="1"/>
        <c:majorTickMark val="out"/>
        <c:minorTickMark val="none"/>
        <c:tickLblPos val="nextTo"/>
        <c:crossAx val="717564559"/>
        <c:crosses val="autoZero"/>
        <c:crossBetween val="between"/>
      </c:valAx>
      <c:spPr>
        <a:solidFill>
          <a:schemeClr val="bg1"/>
        </a:solidFill>
        <a:ln>
          <a:solidFill>
            <a:schemeClr val="bg2">
              <a:lumMod val="9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[recession_jobs_dataset.xlsx]pivot_tabels!PivotTable8</c:name>
    <c:fmtId val="1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pivot_tabels!$H$2</c:f>
              <c:strCache>
                <c:ptCount val="1"/>
                <c:pt idx="0">
                  <c:v>Sum of Layoffs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pivot_tabels!$G$3:$G$7</c:f>
              <c:strCache>
                <c:ptCount val="4"/>
                <c:pt idx="0">
                  <c:v>2008</c:v>
                </c:pt>
                <c:pt idx="1">
                  <c:v>2009</c:v>
                </c:pt>
                <c:pt idx="2">
                  <c:v>2020</c:v>
                </c:pt>
                <c:pt idx="3">
                  <c:v>2021</c:v>
                </c:pt>
              </c:strCache>
            </c:strRef>
          </c:cat>
          <c:val>
            <c:numRef>
              <c:f>pivot_tabels!$H$3:$H$7</c:f>
              <c:numCache>
                <c:formatCode>0.00</c:formatCode>
                <c:ptCount val="4"/>
                <c:pt idx="0">
                  <c:v>5429</c:v>
                </c:pt>
                <c:pt idx="1">
                  <c:v>5941</c:v>
                </c:pt>
                <c:pt idx="2">
                  <c:v>8594</c:v>
                </c:pt>
                <c:pt idx="3">
                  <c:v>8471</c:v>
                </c:pt>
              </c:numCache>
            </c:numRef>
          </c:val>
          <c:smooth val="0"/>
          <c:extLst>
            <c:ext xmlns:c16="http://schemas.microsoft.com/office/drawing/2014/chart" uri="{C3380CC4-5D6E-409C-BE32-E72D297353CC}">
              <c16:uniqueId val="{00000000-2AF0-49D6-A351-1F3BCB30A385}"/>
            </c:ext>
          </c:extLst>
        </c:ser>
        <c:ser>
          <c:idx val="1"/>
          <c:order val="1"/>
          <c:tx>
            <c:strRef>
              <c:f>pivot_tabels!$I$2</c:f>
              <c:strCache>
                <c:ptCount val="1"/>
                <c:pt idx="0">
                  <c:v>Sum of Hiring_Rate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pivot_tabels!$G$3:$G$7</c:f>
              <c:strCache>
                <c:ptCount val="4"/>
                <c:pt idx="0">
                  <c:v>2008</c:v>
                </c:pt>
                <c:pt idx="1">
                  <c:v>2009</c:v>
                </c:pt>
                <c:pt idx="2">
                  <c:v>2020</c:v>
                </c:pt>
                <c:pt idx="3">
                  <c:v>2021</c:v>
                </c:pt>
              </c:strCache>
            </c:strRef>
          </c:cat>
          <c:val>
            <c:numRef>
              <c:f>pivot_tabels!$I$3:$I$7</c:f>
              <c:numCache>
                <c:formatCode>0</c:formatCode>
                <c:ptCount val="4"/>
                <c:pt idx="0">
                  <c:v>4858</c:v>
                </c:pt>
                <c:pt idx="1">
                  <c:v>4246</c:v>
                </c:pt>
                <c:pt idx="2">
                  <c:v>4985</c:v>
                </c:pt>
                <c:pt idx="3">
                  <c:v>5724</c:v>
                </c:pt>
              </c:numCache>
            </c:numRef>
          </c:val>
          <c:smooth val="0"/>
          <c:extLst>
            <c:ext xmlns:c16="http://schemas.microsoft.com/office/drawing/2014/chart" uri="{C3380CC4-5D6E-409C-BE32-E72D297353CC}">
              <c16:uniqueId val="{00000001-2AF0-49D6-A351-1F3BCB30A385}"/>
            </c:ext>
          </c:extLst>
        </c:ser>
        <c:dLbls>
          <c:dLblPos val="ctr"/>
          <c:showLegendKey val="0"/>
          <c:showVal val="1"/>
          <c:showCatName val="0"/>
          <c:showSerName val="0"/>
          <c:showPercent val="0"/>
          <c:showBubbleSize val="0"/>
        </c:dLbls>
        <c:marker val="1"/>
        <c:smooth val="0"/>
        <c:axId val="717515599"/>
        <c:axId val="717523759"/>
      </c:lineChart>
      <c:catAx>
        <c:axId val="71751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23759"/>
        <c:crosses val="autoZero"/>
        <c:auto val="1"/>
        <c:lblAlgn val="ctr"/>
        <c:lblOffset val="100"/>
        <c:noMultiLvlLbl val="0"/>
      </c:catAx>
      <c:valAx>
        <c:axId val="717523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15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[recession_jobs_dataset.xlsx]pivot_tabels!PivotTable9</c:name>
    <c:fmtId val="23"/>
  </c:pivotSource>
  <c:chart>
    <c:title>
      <c:layout>
        <c:manualLayout>
          <c:xMode val="edge"/>
          <c:yMode val="edge"/>
          <c:x val="0.67131914893617017"/>
          <c:y val="5.0925925925925923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pieChart>
        <c:varyColors val="1"/>
        <c:ser>
          <c:idx val="0"/>
          <c:order val="0"/>
          <c:tx>
            <c:strRef>
              <c:f>pivot_tabels!$O$1</c:f>
              <c:strCache>
                <c:ptCount val="1"/>
                <c:pt idx="0">
                  <c:v>Total</c:v>
                </c:pt>
              </c:strCache>
            </c:strRef>
          </c:tx>
          <c:dPt>
            <c:idx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9043-48D3-AED4-51DE87D1B007}"/>
              </c:ext>
            </c:extLst>
          </c:dPt>
          <c:dPt>
            <c:idx val="1"/>
            <c:bubble3D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9043-48D3-AED4-51DE87D1B007}"/>
              </c:ext>
            </c:extLst>
          </c:dPt>
          <c:dPt>
            <c:idx val="2"/>
            <c:bubble3D val="0"/>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9043-48D3-AED4-51DE87D1B007}"/>
              </c:ext>
            </c:extLst>
          </c:dPt>
          <c:dPt>
            <c:idx val="3"/>
            <c:bubble3D val="0"/>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9043-48D3-AED4-51DE87D1B00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pivot_tabels!$N$2:$N$6</c:f>
              <c:strCache>
                <c:ptCount val="4"/>
                <c:pt idx="0">
                  <c:v>USA</c:v>
                </c:pt>
                <c:pt idx="1">
                  <c:v>UK</c:v>
                </c:pt>
                <c:pt idx="2">
                  <c:v>Germany</c:v>
                </c:pt>
                <c:pt idx="3">
                  <c:v>India</c:v>
                </c:pt>
              </c:strCache>
            </c:strRef>
          </c:cat>
          <c:val>
            <c:numRef>
              <c:f>pivot_tabels!$O$2:$O$6</c:f>
              <c:numCache>
                <c:formatCode>#,##0</c:formatCode>
                <c:ptCount val="4"/>
                <c:pt idx="0">
                  <c:v>9475</c:v>
                </c:pt>
                <c:pt idx="1">
                  <c:v>8703</c:v>
                </c:pt>
                <c:pt idx="2">
                  <c:v>6978</c:v>
                </c:pt>
                <c:pt idx="3">
                  <c:v>3279</c:v>
                </c:pt>
              </c:numCache>
            </c:numRef>
          </c:val>
          <c:extLst>
            <c:ext xmlns:c16="http://schemas.microsoft.com/office/drawing/2014/chart" uri="{C3380CC4-5D6E-409C-BE32-E72D297353CC}">
              <c16:uniqueId val="{00000000-9017-4116-B97A-C57FD335D39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[recession_jobs_dataset.xlsx]pivot_tabels!PivotTable10</c:name>
    <c:fmtId val="4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pivot_tabels!$T$1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pivot_tabels!$S$2:$S$5</c:f>
              <c:strCache>
                <c:ptCount val="3"/>
                <c:pt idx="0">
                  <c:v>Medium</c:v>
                </c:pt>
                <c:pt idx="1">
                  <c:v>Small</c:v>
                </c:pt>
                <c:pt idx="2">
                  <c:v>Large</c:v>
                </c:pt>
              </c:strCache>
            </c:strRef>
          </c:cat>
          <c:val>
            <c:numRef>
              <c:f>pivot_tabels!$T$2:$T$5</c:f>
              <c:numCache>
                <c:formatCode>0%</c:formatCode>
                <c:ptCount val="3"/>
                <c:pt idx="0">
                  <c:v>-0.11600802888223091</c:v>
                </c:pt>
                <c:pt idx="1">
                  <c:v>-0.12657252650669748</c:v>
                </c:pt>
                <c:pt idx="2">
                  <c:v>-0.16984009040980277</c:v>
                </c:pt>
              </c:numCache>
            </c:numRef>
          </c:val>
          <c:extLst>
            <c:ext xmlns:c16="http://schemas.microsoft.com/office/drawing/2014/chart" uri="{C3380CC4-5D6E-409C-BE32-E72D297353CC}">
              <c16:uniqueId val="{00000000-EE32-4C29-BE82-AA9CAF5C9A6C}"/>
            </c:ext>
          </c:extLst>
        </c:ser>
        <c:dLbls>
          <c:dLblPos val="outEnd"/>
          <c:showLegendKey val="0"/>
          <c:showVal val="1"/>
          <c:showCatName val="0"/>
          <c:showSerName val="0"/>
          <c:showPercent val="0"/>
          <c:showBubbleSize val="0"/>
        </c:dLbls>
        <c:gapWidth val="100"/>
        <c:overlap val="-24"/>
        <c:axId val="1369927344"/>
        <c:axId val="953793680"/>
      </c:barChart>
      <c:catAx>
        <c:axId val="1369927344"/>
        <c:scaling>
          <c:orientation val="minMax"/>
        </c:scaling>
        <c:delete val="0"/>
        <c:axPos val="b"/>
        <c:numFmt formatCode="General" sourceLinked="1"/>
        <c:majorTickMark val="none"/>
        <c:minorTickMark val="none"/>
        <c:tickLblPos val="high"/>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93680"/>
        <c:crosses val="autoZero"/>
        <c:auto val="1"/>
        <c:lblAlgn val="ctr"/>
        <c:lblOffset val="100"/>
        <c:noMultiLvlLbl val="0"/>
      </c:catAx>
      <c:valAx>
        <c:axId val="9537936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2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[recession_jobs_dataset.xlsx]pivot_tabels!PivotTable2</c:name>
    <c:fmtId val="2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pivot_tabels!$B$30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pivot_tabels!$A$31:$A$36</c:f>
              <c:strCache>
                <c:ptCount val="5"/>
                <c:pt idx="0">
                  <c:v>IT</c:v>
                </c:pt>
                <c:pt idx="1">
                  <c:v>Finance</c:v>
                </c:pt>
                <c:pt idx="2">
                  <c:v>Healthcare</c:v>
                </c:pt>
                <c:pt idx="3">
                  <c:v>Retail</c:v>
                </c:pt>
                <c:pt idx="4">
                  <c:v>Manufacturing</c:v>
                </c:pt>
              </c:strCache>
            </c:strRef>
          </c:cat>
          <c:val>
            <c:numRef>
              <c:f>pivot_tabels!$B$31:$B$36</c:f>
              <c:numCache>
                <c:formatCode>0.00%</c:formatCode>
                <c:ptCount val="5"/>
                <c:pt idx="0">
                  <c:v>-8.9372333065485837E-2</c:v>
                </c:pt>
                <c:pt idx="1">
                  <c:v>-9.3835621323550014E-2</c:v>
                </c:pt>
                <c:pt idx="2">
                  <c:v>-9.8710562695086948E-2</c:v>
                </c:pt>
                <c:pt idx="3">
                  <c:v>-9.8769346325693605E-2</c:v>
                </c:pt>
                <c:pt idx="4">
                  <c:v>-0.10472616211107498</c:v>
                </c:pt>
              </c:numCache>
            </c:numRef>
          </c:val>
          <c:extLst>
            <c:ext xmlns:c16="http://schemas.microsoft.com/office/drawing/2014/chart" uri="{C3380CC4-5D6E-409C-BE32-E72D297353CC}">
              <c16:uniqueId val="{00000000-D893-4CF4-AD41-A0E4660EA00A}"/>
            </c:ext>
          </c:extLst>
        </c:ser>
        <c:dLbls>
          <c:showLegendKey val="0"/>
          <c:showVal val="1"/>
          <c:showCatName val="0"/>
          <c:showSerName val="0"/>
          <c:showPercent val="0"/>
          <c:showBubbleSize val="0"/>
        </c:dLbls>
        <c:gapWidth val="150"/>
        <c:shape val="box"/>
        <c:axId val="576364687"/>
        <c:axId val="576365167"/>
        <c:axId val="673641935"/>
      </c:bar3DChart>
      <c:catAx>
        <c:axId val="576364687"/>
        <c:scaling>
          <c:orientation val="minMax"/>
        </c:scaling>
        <c:delete val="0"/>
        <c:axPos val="b"/>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365167"/>
        <c:crosses val="autoZero"/>
        <c:auto val="1"/>
        <c:lblAlgn val="ctr"/>
        <c:lblOffset val="100"/>
        <c:noMultiLvlLbl val="0"/>
      </c:catAx>
      <c:valAx>
        <c:axId val="576365167"/>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364687"/>
        <c:crosses val="autoZero"/>
        <c:crossBetween val="between"/>
      </c:valAx>
      <c:serAx>
        <c:axId val="67364193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3651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[recession_jobs_dataset.xlsx]pivot_tabels!PivotTable7</c:name>
    <c:fmtId val="29"/>
  </c:pivotSource>
  <c:chart>
    <c:autoTitleDeleted val="0"/>
    <c:pivotFmts>
      <c:pivotFmt>
        <c:idx val="0"/>
        <c:spPr>
          <a:ln w="34925" cap="rnd">
            <a:solidFill>
              <a:srgbClr val="FF0000"/>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pivot_tabels!$B$41</c:f>
              <c:strCache>
                <c:ptCount val="1"/>
                <c:pt idx="0">
                  <c:v>Sum of Layoffs</c:v>
                </c:pt>
              </c:strCache>
            </c:strRef>
          </c:tx>
          <c:spPr>
            <a:ln w="34925" cap="rnd">
              <a:solidFill>
                <a:srgbClr val="FF0000"/>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pivot_tabels!$A$42:$A$46</c:f>
              <c:strCache>
                <c:ptCount val="4"/>
                <c:pt idx="0">
                  <c:v>2008</c:v>
                </c:pt>
                <c:pt idx="1">
                  <c:v>2009</c:v>
                </c:pt>
                <c:pt idx="2">
                  <c:v>2020</c:v>
                </c:pt>
                <c:pt idx="3">
                  <c:v>2021</c:v>
                </c:pt>
              </c:strCache>
            </c:strRef>
          </c:cat>
          <c:val>
            <c:numRef>
              <c:f>pivot_tabels!$B$42:$B$46</c:f>
              <c:numCache>
                <c:formatCode>0</c:formatCode>
                <c:ptCount val="4"/>
                <c:pt idx="0">
                  <c:v>5429</c:v>
                </c:pt>
                <c:pt idx="1">
                  <c:v>5941</c:v>
                </c:pt>
                <c:pt idx="2">
                  <c:v>8594</c:v>
                </c:pt>
                <c:pt idx="3">
                  <c:v>8471</c:v>
                </c:pt>
              </c:numCache>
            </c:numRef>
          </c:val>
          <c:smooth val="0"/>
          <c:extLst>
            <c:ext xmlns:c16="http://schemas.microsoft.com/office/drawing/2014/chart" uri="{C3380CC4-5D6E-409C-BE32-E72D297353CC}">
              <c16:uniqueId val="{00000000-83EE-43FC-BC93-4D9769BA15D9}"/>
            </c:ext>
          </c:extLst>
        </c:ser>
        <c:ser>
          <c:idx val="1"/>
          <c:order val="1"/>
          <c:tx>
            <c:strRef>
              <c:f>pivot_tabels!$C$41</c:f>
              <c:strCache>
                <c:ptCount val="1"/>
                <c:pt idx="0">
                  <c:v>Sum of Hiring_Rate</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pivot_tabels!$A$42:$A$46</c:f>
              <c:strCache>
                <c:ptCount val="4"/>
                <c:pt idx="0">
                  <c:v>2008</c:v>
                </c:pt>
                <c:pt idx="1">
                  <c:v>2009</c:v>
                </c:pt>
                <c:pt idx="2">
                  <c:v>2020</c:v>
                </c:pt>
                <c:pt idx="3">
                  <c:v>2021</c:v>
                </c:pt>
              </c:strCache>
            </c:strRef>
          </c:cat>
          <c:val>
            <c:numRef>
              <c:f>pivot_tabels!$C$42:$C$46</c:f>
              <c:numCache>
                <c:formatCode>0</c:formatCode>
                <c:ptCount val="4"/>
                <c:pt idx="0">
                  <c:v>4858</c:v>
                </c:pt>
                <c:pt idx="1">
                  <c:v>4246</c:v>
                </c:pt>
                <c:pt idx="2">
                  <c:v>4985</c:v>
                </c:pt>
                <c:pt idx="3">
                  <c:v>5724</c:v>
                </c:pt>
              </c:numCache>
            </c:numRef>
          </c:val>
          <c:smooth val="0"/>
          <c:extLst>
            <c:ext xmlns:c16="http://schemas.microsoft.com/office/drawing/2014/chart" uri="{C3380CC4-5D6E-409C-BE32-E72D297353CC}">
              <c16:uniqueId val="{00000001-83EE-43FC-BC93-4D9769BA15D9}"/>
            </c:ext>
          </c:extLst>
        </c:ser>
        <c:dLbls>
          <c:dLblPos val="b"/>
          <c:showLegendKey val="0"/>
          <c:showVal val="1"/>
          <c:showCatName val="0"/>
          <c:showSerName val="0"/>
          <c:showPercent val="0"/>
          <c:showBubbleSize val="0"/>
        </c:dLbls>
        <c:smooth val="0"/>
        <c:axId val="614887487"/>
        <c:axId val="614894207"/>
      </c:lineChart>
      <c:catAx>
        <c:axId val="6148874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894207"/>
        <c:crosses val="autoZero"/>
        <c:auto val="1"/>
        <c:lblAlgn val="ctr"/>
        <c:lblOffset val="100"/>
        <c:noMultiLvlLbl val="0"/>
      </c:catAx>
      <c:valAx>
        <c:axId val="6148942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88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[recession_jobs_dataset.xlsx]pivot_tabels!PivotTable15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46981627296589"/>
          <c:y val="0.12860892388451445"/>
          <c:w val="0.58599715660542429"/>
          <c:h val="0.49586358996792068"/>
        </c:manualLayout>
      </c:layout>
      <c:bar3DChart>
        <c:barDir val="col"/>
        <c:grouping val="stacked"/>
        <c:varyColors val="0"/>
        <c:ser>
          <c:idx val="0"/>
          <c:order val="0"/>
          <c:tx>
            <c:strRef>
              <c:f>pivot_tabels!$B$60</c:f>
              <c:strCache>
                <c:ptCount val="1"/>
                <c:pt idx="0">
                  <c:v>Sum of Before_Jobs</c:v>
                </c:pt>
              </c:strCache>
            </c:strRef>
          </c:tx>
          <c:spPr>
            <a:solidFill>
              <a:schemeClr val="accent1"/>
            </a:solidFill>
            <a:ln>
              <a:noFill/>
            </a:ln>
            <a:effectLst/>
            <a:sp3d/>
          </c:spPr>
          <c:invertIfNegative val="0"/>
          <c:cat>
            <c:strRef>
              <c:f>pivot_tabels!$A$61:$A$66</c:f>
              <c:strCache>
                <c:ptCount val="5"/>
                <c:pt idx="0">
                  <c:v>Finance</c:v>
                </c:pt>
                <c:pt idx="1">
                  <c:v>Healthcare</c:v>
                </c:pt>
                <c:pt idx="2">
                  <c:v>IT</c:v>
                </c:pt>
                <c:pt idx="3">
                  <c:v>Manufacturing</c:v>
                </c:pt>
                <c:pt idx="4">
                  <c:v>Retail</c:v>
                </c:pt>
              </c:strCache>
            </c:strRef>
          </c:cat>
          <c:val>
            <c:numRef>
              <c:f>pivot_tabels!$B$61:$B$66</c:f>
              <c:numCache>
                <c:formatCode>0</c:formatCode>
                <c:ptCount val="5"/>
                <c:pt idx="0">
                  <c:v>103083</c:v>
                </c:pt>
                <c:pt idx="1">
                  <c:v>90516</c:v>
                </c:pt>
                <c:pt idx="2">
                  <c:v>159865</c:v>
                </c:pt>
                <c:pt idx="3">
                  <c:v>97657</c:v>
                </c:pt>
                <c:pt idx="4">
                  <c:v>106011</c:v>
                </c:pt>
              </c:numCache>
            </c:numRef>
          </c:val>
          <c:extLst>
            <c:ext xmlns:c16="http://schemas.microsoft.com/office/drawing/2014/chart" uri="{C3380CC4-5D6E-409C-BE32-E72D297353CC}">
              <c16:uniqueId val="{00000000-327B-4988-9B48-06379962212D}"/>
            </c:ext>
          </c:extLst>
        </c:ser>
        <c:ser>
          <c:idx val="1"/>
          <c:order val="1"/>
          <c:tx>
            <c:strRef>
              <c:f>pivot_tabels!$C$60</c:f>
              <c:strCache>
                <c:ptCount val="1"/>
                <c:pt idx="0">
                  <c:v>Sum of After_Jobs</c:v>
                </c:pt>
              </c:strCache>
            </c:strRef>
          </c:tx>
          <c:spPr>
            <a:solidFill>
              <a:schemeClr val="accent2"/>
            </a:solidFill>
            <a:ln>
              <a:noFill/>
            </a:ln>
            <a:effectLst/>
            <a:sp3d/>
          </c:spPr>
          <c:invertIfNegative val="0"/>
          <c:cat>
            <c:strRef>
              <c:f>pivot_tabels!$A$61:$A$66</c:f>
              <c:strCache>
                <c:ptCount val="5"/>
                <c:pt idx="0">
                  <c:v>Finance</c:v>
                </c:pt>
                <c:pt idx="1">
                  <c:v>Healthcare</c:v>
                </c:pt>
                <c:pt idx="2">
                  <c:v>IT</c:v>
                </c:pt>
                <c:pt idx="3">
                  <c:v>Manufacturing</c:v>
                </c:pt>
                <c:pt idx="4">
                  <c:v>Retail</c:v>
                </c:pt>
              </c:strCache>
            </c:strRef>
          </c:cat>
          <c:val>
            <c:numRef>
              <c:f>pivot_tabels!$C$61:$C$66</c:f>
              <c:numCache>
                <c:formatCode>General</c:formatCode>
                <c:ptCount val="5"/>
                <c:pt idx="0">
                  <c:v>91376</c:v>
                </c:pt>
                <c:pt idx="1">
                  <c:v>81204</c:v>
                </c:pt>
                <c:pt idx="2">
                  <c:v>145209</c:v>
                </c:pt>
                <c:pt idx="3">
                  <c:v>88910</c:v>
                </c:pt>
                <c:pt idx="4">
                  <c:v>96628</c:v>
                </c:pt>
              </c:numCache>
            </c:numRef>
          </c:val>
          <c:extLst>
            <c:ext xmlns:c16="http://schemas.microsoft.com/office/drawing/2014/chart" uri="{C3380CC4-5D6E-409C-BE32-E72D297353CC}">
              <c16:uniqueId val="{00000001-327B-4988-9B48-06379962212D}"/>
            </c:ext>
          </c:extLst>
        </c:ser>
        <c:dLbls>
          <c:showLegendKey val="0"/>
          <c:showVal val="0"/>
          <c:showCatName val="0"/>
          <c:showSerName val="0"/>
          <c:showPercent val="0"/>
          <c:showBubbleSize val="0"/>
        </c:dLbls>
        <c:gapWidth val="150"/>
        <c:shape val="box"/>
        <c:axId val="700686831"/>
        <c:axId val="700683951"/>
        <c:axId val="0"/>
      </c:bar3DChart>
      <c:catAx>
        <c:axId val="700686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83951"/>
        <c:crosses val="autoZero"/>
        <c:auto val="1"/>
        <c:lblAlgn val="ctr"/>
        <c:lblOffset val="100"/>
        <c:noMultiLvlLbl val="0"/>
      </c:catAx>
      <c:valAx>
        <c:axId val="700683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8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[recession_jobs_dataset.xlsx]pivot_tabels!PivotTable16</c:name>
    <c:fmtId val="8"/>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pivot_tabels!$B$77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pivot_tabels!$A$78:$A$83</c:f>
              <c:strCache>
                <c:ptCount val="5"/>
                <c:pt idx="0">
                  <c:v>IT</c:v>
                </c:pt>
                <c:pt idx="1">
                  <c:v>Finance</c:v>
                </c:pt>
                <c:pt idx="2">
                  <c:v>Healthcare</c:v>
                </c:pt>
                <c:pt idx="3">
                  <c:v>Retail</c:v>
                </c:pt>
                <c:pt idx="4">
                  <c:v>Manufacturing</c:v>
                </c:pt>
              </c:strCache>
            </c:strRef>
          </c:cat>
          <c:val>
            <c:numRef>
              <c:f>pivot_tabels!$B$78:$B$83</c:f>
              <c:numCache>
                <c:formatCode>0.00%</c:formatCode>
                <c:ptCount val="5"/>
                <c:pt idx="0">
                  <c:v>-8.9372333065485837E-2</c:v>
                </c:pt>
                <c:pt idx="1">
                  <c:v>-9.3835621323550014E-2</c:v>
                </c:pt>
                <c:pt idx="2">
                  <c:v>-9.8710562695086948E-2</c:v>
                </c:pt>
                <c:pt idx="3">
                  <c:v>-9.8769346325693605E-2</c:v>
                </c:pt>
                <c:pt idx="4">
                  <c:v>-0.10472616211107498</c:v>
                </c:pt>
              </c:numCache>
            </c:numRef>
          </c:val>
          <c:extLst>
            <c:ext xmlns:c16="http://schemas.microsoft.com/office/drawing/2014/chart" uri="{C3380CC4-5D6E-409C-BE32-E72D297353CC}">
              <c16:uniqueId val="{00000000-D400-4675-B739-714417824368}"/>
            </c:ext>
          </c:extLst>
        </c:ser>
        <c:dLbls>
          <c:dLblPos val="ctr"/>
          <c:showLegendKey val="0"/>
          <c:showVal val="1"/>
          <c:showCatName val="0"/>
          <c:showSerName val="0"/>
          <c:showPercent val="0"/>
          <c:showBubbleSize val="0"/>
        </c:dLbls>
        <c:gapWidth val="79"/>
        <c:overlap val="100"/>
        <c:axId val="1078777567"/>
        <c:axId val="1078769887"/>
      </c:barChart>
      <c:catAx>
        <c:axId val="107877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78769887"/>
        <c:crosses val="autoZero"/>
        <c:auto val="1"/>
        <c:lblAlgn val="ctr"/>
        <c:lblOffset val="100"/>
        <c:noMultiLvlLbl val="0"/>
      </c:catAx>
      <c:valAx>
        <c:axId val="1078769887"/>
        <c:scaling>
          <c:orientation val="minMax"/>
        </c:scaling>
        <c:delete val="1"/>
        <c:axPos val="b"/>
        <c:numFmt formatCode="0.00%" sourceLinked="1"/>
        <c:majorTickMark val="none"/>
        <c:minorTickMark val="none"/>
        <c:tickLblPos val="nextTo"/>
        <c:crossAx val="107877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Industry Dashboard'!A1"/><Relationship Id="rId1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hyperlink" Target="#Dashboard!A1"/><Relationship Id="rId2" Type="http://schemas.openxmlformats.org/officeDocument/2006/relationships/image" Target="../media/image2.svg"/><Relationship Id="rId16" Type="http://schemas.openxmlformats.org/officeDocument/2006/relationships/hyperlink" Target="#About!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hyperlink" Target="#Workforce_dashboard!A1"/><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hyperlink" Target="#Trends_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About!A1"/><Relationship Id="rId5" Type="http://schemas.openxmlformats.org/officeDocument/2006/relationships/image" Target="../media/image5.png"/><Relationship Id="rId15" Type="http://schemas.openxmlformats.org/officeDocument/2006/relationships/image" Target="../media/image9.png"/><Relationship Id="rId10" Type="http://schemas.openxmlformats.org/officeDocument/2006/relationships/hyperlink" Target="#Trends_dashboard!A1"/><Relationship Id="rId4" Type="http://schemas.openxmlformats.org/officeDocument/2006/relationships/image" Target="../media/image4.svg"/><Relationship Id="rId9" Type="http://schemas.openxmlformats.org/officeDocument/2006/relationships/hyperlink" Target="#'Industry Dashboard'!A1"/><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11.svg"/><Relationship Id="rId3" Type="http://schemas.openxmlformats.org/officeDocument/2006/relationships/hyperlink" Target="#Workforce_dashboard!A1"/><Relationship Id="rId7" Type="http://schemas.openxmlformats.org/officeDocument/2006/relationships/image" Target="../media/image10.png"/><Relationship Id="rId2" Type="http://schemas.openxmlformats.org/officeDocument/2006/relationships/hyperlink" Target="#Trends_dashboard!A1"/><Relationship Id="rId1" Type="http://schemas.openxmlformats.org/officeDocument/2006/relationships/hyperlink" Target="#'Industry Dashboard'!A1"/><Relationship Id="rId6" Type="http://schemas.openxmlformats.org/officeDocument/2006/relationships/chart" Target="../charts/chart7.xml"/><Relationship Id="rId11" Type="http://schemas.openxmlformats.org/officeDocument/2006/relationships/image" Target="../media/image9.png"/><Relationship Id="rId5" Type="http://schemas.openxmlformats.org/officeDocument/2006/relationships/hyperlink" Target="#Dashboard!A1"/><Relationship Id="rId10" Type="http://schemas.openxmlformats.org/officeDocument/2006/relationships/image" Target="../media/image13.svg"/><Relationship Id="rId4" Type="http://schemas.openxmlformats.org/officeDocument/2006/relationships/hyperlink" Target="#About!A1"/><Relationship Id="rId9"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chart" Target="../charts/chart9.xml"/><Relationship Id="rId3" Type="http://schemas.openxmlformats.org/officeDocument/2006/relationships/hyperlink" Target="#Workforce_dashboard!A1"/><Relationship Id="rId7" Type="http://schemas.openxmlformats.org/officeDocument/2006/relationships/image" Target="../media/image15.svg"/><Relationship Id="rId12" Type="http://schemas.openxmlformats.org/officeDocument/2006/relationships/chart" Target="../charts/chart8.xml"/><Relationship Id="rId2" Type="http://schemas.openxmlformats.org/officeDocument/2006/relationships/hyperlink" Target="#Trends_dashboard!A1"/><Relationship Id="rId1" Type="http://schemas.openxmlformats.org/officeDocument/2006/relationships/hyperlink" Target="#'Industry Dashboard'!A1"/><Relationship Id="rId6" Type="http://schemas.openxmlformats.org/officeDocument/2006/relationships/image" Target="../media/image14.png"/><Relationship Id="rId11" Type="http://schemas.openxmlformats.org/officeDocument/2006/relationships/image" Target="../media/image19.svg"/><Relationship Id="rId5" Type="http://schemas.openxmlformats.org/officeDocument/2006/relationships/hyperlink" Target="#Dashboard!A1"/><Relationship Id="rId10" Type="http://schemas.openxmlformats.org/officeDocument/2006/relationships/image" Target="../media/image18.png"/><Relationship Id="rId4" Type="http://schemas.openxmlformats.org/officeDocument/2006/relationships/hyperlink" Target="#About!A1"/><Relationship Id="rId9" Type="http://schemas.openxmlformats.org/officeDocument/2006/relationships/image" Target="../media/image17.svg"/><Relationship Id="rId14"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hyperlink" Target="#Workforce_dashboard!A1"/><Relationship Id="rId2" Type="http://schemas.openxmlformats.org/officeDocument/2006/relationships/hyperlink" Target="#Trends_dashboard!A1"/><Relationship Id="rId1" Type="http://schemas.openxmlformats.org/officeDocument/2006/relationships/hyperlink" Target="#'Industry Dashboard'!A1"/><Relationship Id="rId6" Type="http://schemas.openxmlformats.org/officeDocument/2006/relationships/image" Target="../media/image9.png"/><Relationship Id="rId5" Type="http://schemas.openxmlformats.org/officeDocument/2006/relationships/hyperlink" Target="#Dashboard!A1"/><Relationship Id="rId4" Type="http://schemas.openxmlformats.org/officeDocument/2006/relationships/hyperlink" Target="#About!A1"/></Relationships>
</file>

<file path=xl/drawings/_rels/drawing6.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0</xdr:colOff>
      <xdr:row>65</xdr:row>
      <xdr:rowOff>30831</xdr:rowOff>
    </xdr:to>
    <xdr:sp macro="" textlink="">
      <xdr:nvSpPr>
        <xdr:cNvPr id="9" name="Rectangle 8">
          <a:extLst>
            <a:ext uri="{FF2B5EF4-FFF2-40B4-BE49-F238E27FC236}">
              <a16:creationId xmlns:a16="http://schemas.microsoft.com/office/drawing/2014/main" id="{A71F95BF-FCD2-0773-1910-7E5263BA0E0A}"/>
            </a:ext>
          </a:extLst>
        </xdr:cNvPr>
        <xdr:cNvSpPr/>
      </xdr:nvSpPr>
      <xdr:spPr>
        <a:xfrm>
          <a:off x="0" y="0"/>
          <a:ext cx="24036618" cy="12777522"/>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twoCellAnchor>
    <xdr:from>
      <xdr:col>0</xdr:col>
      <xdr:colOff>19049</xdr:colOff>
      <xdr:row>0</xdr:row>
      <xdr:rowOff>0</xdr:rowOff>
    </xdr:from>
    <xdr:to>
      <xdr:col>39</xdr:col>
      <xdr:colOff>0</xdr:colOff>
      <xdr:row>5</xdr:row>
      <xdr:rowOff>0</xdr:rowOff>
    </xdr:to>
    <xdr:sp macro="" textlink="">
      <xdr:nvSpPr>
        <xdr:cNvPr id="3" name="Rectangle 2">
          <a:extLst>
            <a:ext uri="{FF2B5EF4-FFF2-40B4-BE49-F238E27FC236}">
              <a16:creationId xmlns:a16="http://schemas.microsoft.com/office/drawing/2014/main" id="{D0A6DCE8-7186-4F18-FE1D-AD585C457A8F}"/>
            </a:ext>
          </a:extLst>
        </xdr:cNvPr>
        <xdr:cNvSpPr/>
      </xdr:nvSpPr>
      <xdr:spPr>
        <a:xfrm>
          <a:off x="19049" y="0"/>
          <a:ext cx="23330808" cy="952500"/>
        </a:xfrm>
        <a:prstGeom prst="rect">
          <a:avLst/>
        </a:prstGeom>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a:t>Job Recession Dashboard</a:t>
          </a:r>
        </a:p>
      </xdr:txBody>
    </xdr:sp>
    <xdr:clientData/>
  </xdr:twoCellAnchor>
  <xdr:twoCellAnchor>
    <xdr:from>
      <xdr:col>6</xdr:col>
      <xdr:colOff>508122</xdr:colOff>
      <xdr:row>7</xdr:row>
      <xdr:rowOff>22319</xdr:rowOff>
    </xdr:from>
    <xdr:to>
      <xdr:col>34</xdr:col>
      <xdr:colOff>428311</xdr:colOff>
      <xdr:row>14</xdr:row>
      <xdr:rowOff>0</xdr:rowOff>
    </xdr:to>
    <xdr:grpSp>
      <xdr:nvGrpSpPr>
        <xdr:cNvPr id="5" name="Group 4">
          <a:extLst>
            <a:ext uri="{FF2B5EF4-FFF2-40B4-BE49-F238E27FC236}">
              <a16:creationId xmlns:a16="http://schemas.microsoft.com/office/drawing/2014/main" id="{AAF34081-701D-0A62-8132-19BC4ECE7A88}"/>
            </a:ext>
          </a:extLst>
        </xdr:cNvPr>
        <xdr:cNvGrpSpPr/>
      </xdr:nvGrpSpPr>
      <xdr:grpSpPr>
        <a:xfrm>
          <a:off x="4111057" y="1326830"/>
          <a:ext cx="16733884" cy="1282192"/>
          <a:chOff x="2489059" y="652268"/>
          <a:chExt cx="17137949" cy="1366743"/>
        </a:xfrm>
      </xdr:grpSpPr>
      <xdr:grpSp>
        <xdr:nvGrpSpPr>
          <xdr:cNvPr id="2" name="Group 1">
            <a:extLst>
              <a:ext uri="{FF2B5EF4-FFF2-40B4-BE49-F238E27FC236}">
                <a16:creationId xmlns:a16="http://schemas.microsoft.com/office/drawing/2014/main" id="{85D54E61-A6E9-FCE9-B5B2-6532F7C5ED40}"/>
              </a:ext>
            </a:extLst>
          </xdr:cNvPr>
          <xdr:cNvGrpSpPr/>
        </xdr:nvGrpSpPr>
        <xdr:grpSpPr>
          <a:xfrm>
            <a:off x="2489059" y="652268"/>
            <a:ext cx="17137949" cy="1366743"/>
            <a:chOff x="345915" y="652268"/>
            <a:chExt cx="17137949" cy="1366743"/>
          </a:xfrm>
        </xdr:grpSpPr>
        <xdr:sp macro="" textlink="">
          <xdr:nvSpPr>
            <xdr:cNvPr id="4" name="Rectangle: Rounded Corners 3">
              <a:extLst>
                <a:ext uri="{FF2B5EF4-FFF2-40B4-BE49-F238E27FC236}">
                  <a16:creationId xmlns:a16="http://schemas.microsoft.com/office/drawing/2014/main" id="{68ACF35D-5717-5061-BA25-D824244E13AD}"/>
                </a:ext>
              </a:extLst>
            </xdr:cNvPr>
            <xdr:cNvSpPr/>
          </xdr:nvSpPr>
          <xdr:spPr>
            <a:xfrm>
              <a:off x="345915" y="730973"/>
              <a:ext cx="4012132" cy="1210831"/>
            </a:xfrm>
            <a:prstGeom prst="roundRect">
              <a:avLst/>
            </a:prstGeom>
            <a:ln>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2400" b="1"/>
                <a:t>            Total Layoffs</a:t>
              </a:r>
            </a:p>
          </xdr:txBody>
        </xdr:sp>
        <xdr:sp macro="" textlink="">
          <xdr:nvSpPr>
            <xdr:cNvPr id="10" name="Rectangle: Rounded Corners 9">
              <a:extLst>
                <a:ext uri="{FF2B5EF4-FFF2-40B4-BE49-F238E27FC236}">
                  <a16:creationId xmlns:a16="http://schemas.microsoft.com/office/drawing/2014/main" id="{C149A4AA-7163-CE56-F430-E2C5A390DFA3}"/>
                </a:ext>
              </a:extLst>
            </xdr:cNvPr>
            <xdr:cNvSpPr/>
          </xdr:nvSpPr>
          <xdr:spPr>
            <a:xfrm>
              <a:off x="4651667" y="713653"/>
              <a:ext cx="4012476" cy="1270722"/>
            </a:xfrm>
            <a:prstGeom prst="round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t>           Avg Salary Change</a:t>
              </a:r>
            </a:p>
          </xdr:txBody>
        </xdr:sp>
        <xdr:sp macro="" textlink="">
          <xdr:nvSpPr>
            <xdr:cNvPr id="11" name="Rectangle: Rounded Corners 10">
              <a:extLst>
                <a:ext uri="{FF2B5EF4-FFF2-40B4-BE49-F238E27FC236}">
                  <a16:creationId xmlns:a16="http://schemas.microsoft.com/office/drawing/2014/main" id="{D4395CCC-0B5B-9EA6-AA9D-1BB2FBECDEB0}"/>
                </a:ext>
              </a:extLst>
            </xdr:cNvPr>
            <xdr:cNvSpPr/>
          </xdr:nvSpPr>
          <xdr:spPr>
            <a:xfrm>
              <a:off x="8993189" y="721541"/>
              <a:ext cx="3830913" cy="1297470"/>
            </a:xfrm>
            <a:prstGeom prst="round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000" b="1"/>
                <a:t>            Highest Impact Industry</a:t>
              </a:r>
            </a:p>
          </xdr:txBody>
        </xdr:sp>
        <xdr:sp macro="" textlink="">
          <xdr:nvSpPr>
            <xdr:cNvPr id="12" name="Rectangle: Rounded Corners 11">
              <a:extLst>
                <a:ext uri="{FF2B5EF4-FFF2-40B4-BE49-F238E27FC236}">
                  <a16:creationId xmlns:a16="http://schemas.microsoft.com/office/drawing/2014/main" id="{28631E40-AE72-936B-3197-E58220AED4AF}"/>
                </a:ext>
              </a:extLst>
            </xdr:cNvPr>
            <xdr:cNvSpPr/>
          </xdr:nvSpPr>
          <xdr:spPr>
            <a:xfrm>
              <a:off x="13533438" y="652268"/>
              <a:ext cx="3950426" cy="1332107"/>
            </a:xfrm>
            <a:prstGeom prst="roundRect">
              <a:avLst/>
            </a:prstGeom>
            <a:ln>
              <a:solidFill>
                <a:schemeClr val="bg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000" b="1"/>
                <a:t>       Unemployment Rate</a:t>
              </a:r>
            </a:p>
          </xdr:txBody>
        </xdr:sp>
      </xdr:grpSp>
      <xdr:pic>
        <xdr:nvPicPr>
          <xdr:cNvPr id="14" name="Graphic 13" descr="Users with solid fill">
            <a:extLst>
              <a:ext uri="{FF2B5EF4-FFF2-40B4-BE49-F238E27FC236}">
                <a16:creationId xmlns:a16="http://schemas.microsoft.com/office/drawing/2014/main" id="{55AC3ED4-12C7-CE17-263B-7B3DA75171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25869" y="936754"/>
            <a:ext cx="925581" cy="963519"/>
          </a:xfrm>
          <a:prstGeom prst="rect">
            <a:avLst/>
          </a:prstGeom>
        </xdr:spPr>
      </xdr:pic>
      <xdr:sp macro="" textlink="pivot_tabels!B2">
        <xdr:nvSpPr>
          <xdr:cNvPr id="18" name="Rectangle 17">
            <a:extLst>
              <a:ext uri="{FF2B5EF4-FFF2-40B4-BE49-F238E27FC236}">
                <a16:creationId xmlns:a16="http://schemas.microsoft.com/office/drawing/2014/main" id="{EABFDB48-EEB4-A6FC-73BC-CFFEAB804CB4}"/>
              </a:ext>
            </a:extLst>
          </xdr:cNvPr>
          <xdr:cNvSpPr/>
        </xdr:nvSpPr>
        <xdr:spPr>
          <a:xfrm>
            <a:off x="3852871" y="1332498"/>
            <a:ext cx="2118959" cy="4157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53F75C-8A95-4C48-B0EB-DD1A0ADE7E1D}" type="TxLink">
              <a:rPr lang="en-US" sz="3600" b="1" i="0" u="none" strike="noStrike" cap="none" spc="0">
                <a:ln w="0"/>
                <a:solidFill>
                  <a:schemeClr val="accent1"/>
                </a:solidFill>
                <a:effectLst>
                  <a:outerShdw blurRad="38100" dist="25400" dir="5400000" algn="ctr" rotWithShape="0">
                    <a:srgbClr val="6E747A">
                      <a:alpha val="43000"/>
                    </a:srgbClr>
                  </a:outerShdw>
                </a:effectLst>
                <a:latin typeface="Calibri"/>
                <a:ea typeface="Calibri"/>
                <a:cs typeface="Calibri"/>
              </a:rPr>
              <a:pPr algn="ctr"/>
              <a:t>28,435</a:t>
            </a:fld>
            <a:endParaRPr lang="en-IN" sz="3600" b="1" cap="none" spc="0">
              <a:ln w="0"/>
              <a:solidFill>
                <a:schemeClr val="accent1"/>
              </a:solidFill>
              <a:effectLst>
                <a:outerShdw blurRad="38100" dist="25400" dir="5400000" algn="ctr" rotWithShape="0">
                  <a:srgbClr val="6E747A">
                    <a:alpha val="43000"/>
                  </a:srgbClr>
                </a:outerShdw>
              </a:effectLst>
            </a:endParaRPr>
          </a:p>
        </xdr:txBody>
      </xdr:sp>
    </xdr:grpSp>
    <xdr:clientData/>
  </xdr:twoCellAnchor>
  <xdr:twoCellAnchor editAs="oneCell">
    <xdr:from>
      <xdr:col>14</xdr:col>
      <xdr:colOff>224855</xdr:colOff>
      <xdr:row>8</xdr:row>
      <xdr:rowOff>7374</xdr:rowOff>
    </xdr:from>
    <xdr:to>
      <xdr:col>15</xdr:col>
      <xdr:colOff>510714</xdr:colOff>
      <xdr:row>13</xdr:row>
      <xdr:rowOff>0</xdr:rowOff>
    </xdr:to>
    <xdr:pic>
      <xdr:nvPicPr>
        <xdr:cNvPr id="20" name="Graphic 19" descr="Coins with solid fill">
          <a:extLst>
            <a:ext uri="{FF2B5EF4-FFF2-40B4-BE49-F238E27FC236}">
              <a16:creationId xmlns:a16="http://schemas.microsoft.com/office/drawing/2014/main" id="{12D57DDE-EAB9-B043-ED5A-511F50C834E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631703" y="1498244"/>
          <a:ext cx="886348" cy="924419"/>
        </a:xfrm>
        <a:prstGeom prst="rect">
          <a:avLst/>
        </a:prstGeom>
      </xdr:spPr>
    </xdr:pic>
    <xdr:clientData/>
  </xdr:twoCellAnchor>
  <xdr:twoCellAnchor>
    <xdr:from>
      <xdr:col>15</xdr:col>
      <xdr:colOff>562026</xdr:colOff>
      <xdr:row>10</xdr:row>
      <xdr:rowOff>77387</xdr:rowOff>
    </xdr:from>
    <xdr:to>
      <xdr:col>19</xdr:col>
      <xdr:colOff>378599</xdr:colOff>
      <xdr:row>10</xdr:row>
      <xdr:rowOff>77387</xdr:rowOff>
    </xdr:to>
    <xdr:cxnSp macro="">
      <xdr:nvCxnSpPr>
        <xdr:cNvPr id="21" name="Straight Connector 20">
          <a:extLst>
            <a:ext uri="{FF2B5EF4-FFF2-40B4-BE49-F238E27FC236}">
              <a16:creationId xmlns:a16="http://schemas.microsoft.com/office/drawing/2014/main" id="{7C9CBD98-589B-6ACE-86CD-1CB2880EA679}"/>
            </a:ext>
          </a:extLst>
        </xdr:cNvPr>
        <xdr:cNvCxnSpPr/>
      </xdr:nvCxnSpPr>
      <xdr:spPr>
        <a:xfrm flipV="1">
          <a:off x="9569363" y="1940974"/>
          <a:ext cx="2218529" cy="0"/>
        </a:xfrm>
        <a:prstGeom prst="line">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213236</xdr:colOff>
      <xdr:row>11</xdr:row>
      <xdr:rowOff>0</xdr:rowOff>
    </xdr:from>
    <xdr:to>
      <xdr:col>19</xdr:col>
      <xdr:colOff>104998</xdr:colOff>
      <xdr:row>13</xdr:row>
      <xdr:rowOff>97779</xdr:rowOff>
    </xdr:to>
    <xdr:sp macro="" textlink="pivot_tabels!B6">
      <xdr:nvSpPr>
        <xdr:cNvPr id="23" name="Rectangle 22">
          <a:extLst>
            <a:ext uri="{FF2B5EF4-FFF2-40B4-BE49-F238E27FC236}">
              <a16:creationId xmlns:a16="http://schemas.microsoft.com/office/drawing/2014/main" id="{F6FAB19B-E08A-EAB9-134C-5740FA1C6700}"/>
            </a:ext>
          </a:extLst>
        </xdr:cNvPr>
        <xdr:cNvSpPr/>
      </xdr:nvSpPr>
      <xdr:spPr>
        <a:xfrm>
          <a:off x="9220573" y="2049946"/>
          <a:ext cx="2293718" cy="4704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550C8A-DF9E-40B3-B403-F88F7F6278DF}" type="TxLink">
            <a:rPr lang="en-US" sz="3600" b="1" i="0" u="none" strike="noStrike" cap="none" spc="0">
              <a:ln w="0">
                <a:solidFill>
                  <a:schemeClr val="tx2">
                    <a:lumMod val="60000"/>
                    <a:lumOff val="40000"/>
                  </a:schemeClr>
                </a:solidFill>
              </a:ln>
              <a:solidFill>
                <a:schemeClr val="accent1"/>
              </a:solidFill>
              <a:effectLst>
                <a:outerShdw blurRad="38100" dist="25400" dir="5400000" algn="ctr" rotWithShape="0">
                  <a:srgbClr val="6E747A">
                    <a:alpha val="43000"/>
                  </a:srgbClr>
                </a:outerShdw>
              </a:effectLst>
              <a:latin typeface="Calibri"/>
              <a:ea typeface="Calibri"/>
              <a:cs typeface="Calibri"/>
            </a:rPr>
            <a:pPr algn="ctr"/>
            <a:t>-9.61%</a:t>
          </a:fld>
          <a:endParaRPr lang="en-IN" sz="3600" b="1" cap="none" spc="0">
            <a:ln w="0">
              <a:solidFill>
                <a:schemeClr val="tx2">
                  <a:lumMod val="60000"/>
                  <a:lumOff val="40000"/>
                </a:schemeClr>
              </a:solidFill>
            </a:ln>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21</xdr:col>
      <xdr:colOff>67890</xdr:colOff>
      <xdr:row>7</xdr:row>
      <xdr:rowOff>166128</xdr:rowOff>
    </xdr:from>
    <xdr:to>
      <xdr:col>22</xdr:col>
      <xdr:colOff>362127</xdr:colOff>
      <xdr:row>12</xdr:row>
      <xdr:rowOff>158753</xdr:rowOff>
    </xdr:to>
    <xdr:pic>
      <xdr:nvPicPr>
        <xdr:cNvPr id="25" name="Graphic 24" descr="Factory with solid fill">
          <a:extLst>
            <a:ext uri="{FF2B5EF4-FFF2-40B4-BE49-F238E27FC236}">
              <a16:creationId xmlns:a16="http://schemas.microsoft.com/office/drawing/2014/main" id="{183EA114-5B27-165F-39F0-CBC69D8202E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678162" y="1470639"/>
          <a:ext cx="894726" cy="924418"/>
        </a:xfrm>
        <a:prstGeom prst="rect">
          <a:avLst/>
        </a:prstGeom>
      </xdr:spPr>
    </xdr:pic>
    <xdr:clientData/>
  </xdr:twoCellAnchor>
  <xdr:twoCellAnchor>
    <xdr:from>
      <xdr:col>22</xdr:col>
      <xdr:colOff>341723</xdr:colOff>
      <xdr:row>10</xdr:row>
      <xdr:rowOff>41728</xdr:rowOff>
    </xdr:from>
    <xdr:to>
      <xdr:col>26</xdr:col>
      <xdr:colOff>157970</xdr:colOff>
      <xdr:row>10</xdr:row>
      <xdr:rowOff>41728</xdr:rowOff>
    </xdr:to>
    <xdr:cxnSp macro="">
      <xdr:nvCxnSpPr>
        <xdr:cNvPr id="26" name="Straight Connector 25">
          <a:extLst>
            <a:ext uri="{FF2B5EF4-FFF2-40B4-BE49-F238E27FC236}">
              <a16:creationId xmlns:a16="http://schemas.microsoft.com/office/drawing/2014/main" id="{3774E8AA-66A0-D299-5D09-7915D8958D65}"/>
            </a:ext>
          </a:extLst>
        </xdr:cNvPr>
        <xdr:cNvCxnSpPr/>
      </xdr:nvCxnSpPr>
      <xdr:spPr>
        <a:xfrm flipV="1">
          <a:off x="13552484" y="1905315"/>
          <a:ext cx="2218203" cy="0"/>
        </a:xfrm>
        <a:prstGeom prst="line">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137075</xdr:colOff>
      <xdr:row>10</xdr:row>
      <xdr:rowOff>75591</xdr:rowOff>
    </xdr:from>
    <xdr:to>
      <xdr:col>25</xdr:col>
      <xdr:colOff>582968</xdr:colOff>
      <xdr:row>13</xdr:row>
      <xdr:rowOff>132293</xdr:rowOff>
    </xdr:to>
    <xdr:sp macro="" textlink="pivot_tabels!C10">
      <xdr:nvSpPr>
        <xdr:cNvPr id="27" name="Rectangle 26">
          <a:extLst>
            <a:ext uri="{FF2B5EF4-FFF2-40B4-BE49-F238E27FC236}">
              <a16:creationId xmlns:a16="http://schemas.microsoft.com/office/drawing/2014/main" id="{C5B1D58C-2528-4BFE-508C-5CAEC021B753}"/>
            </a:ext>
          </a:extLst>
        </xdr:cNvPr>
        <xdr:cNvSpPr/>
      </xdr:nvSpPr>
      <xdr:spPr>
        <a:xfrm>
          <a:off x="13347836" y="1939178"/>
          <a:ext cx="2247360" cy="6157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73FE3D-3026-4165-82CE-F8E8B7797EDA}" type="TxLink">
            <a:rPr lang="en-US" sz="5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IT</a:t>
          </a:fld>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28</xdr:col>
      <xdr:colOff>296175</xdr:colOff>
      <xdr:row>8</xdr:row>
      <xdr:rowOff>7373</xdr:rowOff>
    </xdr:from>
    <xdr:to>
      <xdr:col>29</xdr:col>
      <xdr:colOff>596059</xdr:colOff>
      <xdr:row>13</xdr:row>
      <xdr:rowOff>0</xdr:rowOff>
    </xdr:to>
    <xdr:pic>
      <xdr:nvPicPr>
        <xdr:cNvPr id="29" name="Graphic 28" descr="Warning with solid fill">
          <a:extLst>
            <a:ext uri="{FF2B5EF4-FFF2-40B4-BE49-F238E27FC236}">
              <a16:creationId xmlns:a16="http://schemas.microsoft.com/office/drawing/2014/main" id="{B24FD188-3813-C529-7E53-9C345F20AD3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109871" y="1498243"/>
          <a:ext cx="900373" cy="924420"/>
        </a:xfrm>
        <a:prstGeom prst="rect">
          <a:avLst/>
        </a:prstGeom>
      </xdr:spPr>
    </xdr:pic>
    <xdr:clientData/>
  </xdr:twoCellAnchor>
  <xdr:twoCellAnchor>
    <xdr:from>
      <xdr:col>30</xdr:col>
      <xdr:colOff>151715</xdr:colOff>
      <xdr:row>10</xdr:row>
      <xdr:rowOff>0</xdr:rowOff>
    </xdr:from>
    <xdr:to>
      <xdr:col>33</xdr:col>
      <xdr:colOff>553783</xdr:colOff>
      <xdr:row>10</xdr:row>
      <xdr:rowOff>18955</xdr:rowOff>
    </xdr:to>
    <xdr:cxnSp macro="">
      <xdr:nvCxnSpPr>
        <xdr:cNvPr id="30" name="Straight Connector 29">
          <a:extLst>
            <a:ext uri="{FF2B5EF4-FFF2-40B4-BE49-F238E27FC236}">
              <a16:creationId xmlns:a16="http://schemas.microsoft.com/office/drawing/2014/main" id="{52A6EC10-4932-368A-825B-F420E449850D}"/>
            </a:ext>
          </a:extLst>
        </xdr:cNvPr>
        <xdr:cNvCxnSpPr/>
      </xdr:nvCxnSpPr>
      <xdr:spPr>
        <a:xfrm flipV="1">
          <a:off x="18166389" y="1863587"/>
          <a:ext cx="2203535" cy="18955"/>
        </a:xfrm>
        <a:prstGeom prst="line">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389862</xdr:colOff>
      <xdr:row>10</xdr:row>
      <xdr:rowOff>0</xdr:rowOff>
    </xdr:from>
    <xdr:to>
      <xdr:col>33</xdr:col>
      <xdr:colOff>555522</xdr:colOff>
      <xdr:row>12</xdr:row>
      <xdr:rowOff>73614</xdr:rowOff>
    </xdr:to>
    <xdr:sp macro="" textlink="pivot_tabels!B21">
      <xdr:nvSpPr>
        <xdr:cNvPr id="31" name="Rectangle 30">
          <a:extLst>
            <a:ext uri="{FF2B5EF4-FFF2-40B4-BE49-F238E27FC236}">
              <a16:creationId xmlns:a16="http://schemas.microsoft.com/office/drawing/2014/main" id="{142CCE73-7ECA-8BAC-FFDF-5F5131908503}"/>
            </a:ext>
          </a:extLst>
        </xdr:cNvPr>
        <xdr:cNvSpPr/>
      </xdr:nvSpPr>
      <xdr:spPr>
        <a:xfrm>
          <a:off x="17804047" y="1863587"/>
          <a:ext cx="2567616" cy="4463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853543D-B393-49D4-8B59-23D10BBDE502}" type="TxLink">
            <a:rPr lang="en-US" sz="2800" b="1" i="0" u="none" strike="noStrike">
              <a:solidFill>
                <a:srgbClr val="FF0000"/>
              </a:solidFill>
              <a:latin typeface="Calibri"/>
              <a:ea typeface="Calibri"/>
              <a:cs typeface="Calibri"/>
            </a:rPr>
            <a:pPr algn="ctr"/>
            <a:t>7.9</a:t>
          </a:fld>
          <a:endParaRPr lang="en-IN" sz="2800" b="1">
            <a:solidFill>
              <a:srgbClr val="FF0000"/>
            </a:solidFill>
          </a:endParaRPr>
        </a:p>
      </xdr:txBody>
    </xdr:sp>
    <xdr:clientData/>
  </xdr:twoCellAnchor>
  <xdr:twoCellAnchor>
    <xdr:from>
      <xdr:col>8</xdr:col>
      <xdr:colOff>556152</xdr:colOff>
      <xdr:row>10</xdr:row>
      <xdr:rowOff>84293</xdr:rowOff>
    </xdr:from>
    <xdr:to>
      <xdr:col>12</xdr:col>
      <xdr:colOff>372725</xdr:colOff>
      <xdr:row>10</xdr:row>
      <xdr:rowOff>84293</xdr:rowOff>
    </xdr:to>
    <xdr:cxnSp macro="">
      <xdr:nvCxnSpPr>
        <xdr:cNvPr id="16" name="Straight Connector 15">
          <a:extLst>
            <a:ext uri="{FF2B5EF4-FFF2-40B4-BE49-F238E27FC236}">
              <a16:creationId xmlns:a16="http://schemas.microsoft.com/office/drawing/2014/main" id="{FACD5F55-386E-8D38-C85E-568A7C2D8D24}"/>
            </a:ext>
          </a:extLst>
        </xdr:cNvPr>
        <xdr:cNvCxnSpPr/>
      </xdr:nvCxnSpPr>
      <xdr:spPr>
        <a:xfrm flipV="1">
          <a:off x="5360065" y="1947880"/>
          <a:ext cx="2218530" cy="0"/>
        </a:xfrm>
        <a:prstGeom prst="line">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579782</xdr:colOff>
      <xdr:row>4</xdr:row>
      <xdr:rowOff>144945</xdr:rowOff>
    </xdr:from>
    <xdr:to>
      <xdr:col>5</xdr:col>
      <xdr:colOff>103532</xdr:colOff>
      <xdr:row>65</xdr:row>
      <xdr:rowOff>62120</xdr:rowOff>
    </xdr:to>
    <xdr:cxnSp macro="">
      <xdr:nvCxnSpPr>
        <xdr:cNvPr id="7" name="Straight Connector 6">
          <a:extLst>
            <a:ext uri="{FF2B5EF4-FFF2-40B4-BE49-F238E27FC236}">
              <a16:creationId xmlns:a16="http://schemas.microsoft.com/office/drawing/2014/main" id="{D3B8CCBF-8D6B-3CE1-1BFD-F8AEF7C6CA39}"/>
            </a:ext>
          </a:extLst>
        </xdr:cNvPr>
        <xdr:cNvCxnSpPr/>
      </xdr:nvCxnSpPr>
      <xdr:spPr>
        <a:xfrm flipH="1">
          <a:off x="2981739" y="890380"/>
          <a:ext cx="124239" cy="1128505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512345</xdr:colOff>
      <xdr:row>17</xdr:row>
      <xdr:rowOff>62119</xdr:rowOff>
    </xdr:from>
    <xdr:to>
      <xdr:col>31</xdr:col>
      <xdr:colOff>289891</xdr:colOff>
      <xdr:row>20</xdr:row>
      <xdr:rowOff>8557</xdr:rowOff>
    </xdr:to>
    <xdr:grpSp>
      <xdr:nvGrpSpPr>
        <xdr:cNvPr id="17" name="Group 16">
          <a:extLst>
            <a:ext uri="{FF2B5EF4-FFF2-40B4-BE49-F238E27FC236}">
              <a16:creationId xmlns:a16="http://schemas.microsoft.com/office/drawing/2014/main" id="{812C0276-4B8F-1B56-CA28-42A939507884}"/>
            </a:ext>
          </a:extLst>
        </xdr:cNvPr>
        <xdr:cNvGrpSpPr/>
      </xdr:nvGrpSpPr>
      <xdr:grpSpPr>
        <a:xfrm>
          <a:off x="4115280" y="3230217"/>
          <a:ext cx="14789774" cy="505514"/>
          <a:chOff x="4121819" y="3208421"/>
          <a:chExt cx="18111536" cy="802105"/>
        </a:xfrm>
      </xdr:grpSpPr>
      <xdr:sp macro="" textlink="">
        <xdr:nvSpPr>
          <xdr:cNvPr id="13" name="Rectangle 12">
            <a:extLst>
              <a:ext uri="{FF2B5EF4-FFF2-40B4-BE49-F238E27FC236}">
                <a16:creationId xmlns:a16="http://schemas.microsoft.com/office/drawing/2014/main" id="{A57884E4-F10E-2DF6-41DD-072DFCDE2F1F}"/>
              </a:ext>
            </a:extLst>
          </xdr:cNvPr>
          <xdr:cNvSpPr/>
        </xdr:nvSpPr>
        <xdr:spPr>
          <a:xfrm>
            <a:off x="4121819" y="3208421"/>
            <a:ext cx="7898731" cy="802105"/>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t>Job</a:t>
            </a:r>
            <a:r>
              <a:rPr lang="en-IN" sz="4800" baseline="0"/>
              <a:t> loss By Industry</a:t>
            </a:r>
            <a:endParaRPr lang="en-IN" sz="4800"/>
          </a:p>
        </xdr:txBody>
      </xdr:sp>
      <xdr:sp macro="" textlink="">
        <xdr:nvSpPr>
          <xdr:cNvPr id="15" name="Rectangle 14">
            <a:extLst>
              <a:ext uri="{FF2B5EF4-FFF2-40B4-BE49-F238E27FC236}">
                <a16:creationId xmlns:a16="http://schemas.microsoft.com/office/drawing/2014/main" id="{D5730274-B101-7206-42D5-65759886AB83}"/>
              </a:ext>
            </a:extLst>
          </xdr:cNvPr>
          <xdr:cNvSpPr/>
        </xdr:nvSpPr>
        <xdr:spPr>
          <a:xfrm>
            <a:off x="14334624" y="3208421"/>
            <a:ext cx="7898731" cy="802105"/>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t>Layoffs &amp; Hiring Trend</a:t>
            </a:r>
          </a:p>
        </xdr:txBody>
      </xdr:sp>
    </xdr:grpSp>
    <xdr:clientData/>
  </xdr:twoCellAnchor>
  <xdr:twoCellAnchor>
    <xdr:from>
      <xdr:col>7</xdr:col>
      <xdr:colOff>0</xdr:colOff>
      <xdr:row>39</xdr:row>
      <xdr:rowOff>41413</xdr:rowOff>
    </xdr:from>
    <xdr:to>
      <xdr:col>31</xdr:col>
      <xdr:colOff>352011</xdr:colOff>
      <xdr:row>42</xdr:row>
      <xdr:rowOff>7829</xdr:rowOff>
    </xdr:to>
    <xdr:grpSp>
      <xdr:nvGrpSpPr>
        <xdr:cNvPr id="19" name="Group 18">
          <a:extLst>
            <a:ext uri="{FF2B5EF4-FFF2-40B4-BE49-F238E27FC236}">
              <a16:creationId xmlns:a16="http://schemas.microsoft.com/office/drawing/2014/main" id="{6F0FD4D4-3B9E-83C2-E546-23EFC7C1D570}"/>
            </a:ext>
          </a:extLst>
        </xdr:cNvPr>
        <xdr:cNvGrpSpPr/>
      </xdr:nvGrpSpPr>
      <xdr:grpSpPr>
        <a:xfrm>
          <a:off x="4203424" y="7309402"/>
          <a:ext cx="14763750" cy="525492"/>
          <a:chOff x="4121819" y="3208421"/>
          <a:chExt cx="18111536" cy="802105"/>
        </a:xfrm>
      </xdr:grpSpPr>
      <xdr:sp macro="" textlink="">
        <xdr:nvSpPr>
          <xdr:cNvPr id="22" name="Rectangle 21">
            <a:extLst>
              <a:ext uri="{FF2B5EF4-FFF2-40B4-BE49-F238E27FC236}">
                <a16:creationId xmlns:a16="http://schemas.microsoft.com/office/drawing/2014/main" id="{E69278A6-13DD-D3D8-5AC4-E01194D2870B}"/>
              </a:ext>
            </a:extLst>
          </xdr:cNvPr>
          <xdr:cNvSpPr/>
        </xdr:nvSpPr>
        <xdr:spPr>
          <a:xfrm>
            <a:off x="4121819" y="3208421"/>
            <a:ext cx="7898731" cy="802105"/>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t>Layoffs By Country</a:t>
            </a:r>
          </a:p>
        </xdr:txBody>
      </xdr:sp>
      <xdr:sp macro="" textlink="">
        <xdr:nvSpPr>
          <xdr:cNvPr id="24" name="Rectangle 23">
            <a:extLst>
              <a:ext uri="{FF2B5EF4-FFF2-40B4-BE49-F238E27FC236}">
                <a16:creationId xmlns:a16="http://schemas.microsoft.com/office/drawing/2014/main" id="{56815F8C-817F-6EEE-86A8-9C23734C2B25}"/>
              </a:ext>
            </a:extLst>
          </xdr:cNvPr>
          <xdr:cNvSpPr/>
        </xdr:nvSpPr>
        <xdr:spPr>
          <a:xfrm>
            <a:off x="14334624" y="3208421"/>
            <a:ext cx="7898731" cy="802105"/>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t>Impact By Company Size</a:t>
            </a:r>
          </a:p>
        </xdr:txBody>
      </xdr:sp>
    </xdr:grpSp>
    <xdr:clientData/>
  </xdr:twoCellAnchor>
  <xdr:twoCellAnchor>
    <xdr:from>
      <xdr:col>7</xdr:col>
      <xdr:colOff>1</xdr:colOff>
      <xdr:row>21</xdr:row>
      <xdr:rowOff>0</xdr:rowOff>
    </xdr:from>
    <xdr:to>
      <xdr:col>17</xdr:col>
      <xdr:colOff>227772</xdr:colOff>
      <xdr:row>37</xdr:row>
      <xdr:rowOff>62119</xdr:rowOff>
    </xdr:to>
    <xdr:graphicFrame macro="">
      <xdr:nvGraphicFramePr>
        <xdr:cNvPr id="28" name="Chart 27">
          <a:extLst>
            <a:ext uri="{FF2B5EF4-FFF2-40B4-BE49-F238E27FC236}">
              <a16:creationId xmlns:a16="http://schemas.microsoft.com/office/drawing/2014/main" id="{5F81E549-C08D-4EE8-8538-26FFB3D89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100447</xdr:colOff>
      <xdr:row>44</xdr:row>
      <xdr:rowOff>101329</xdr:rowOff>
    </xdr:from>
    <xdr:to>
      <xdr:col>17</xdr:col>
      <xdr:colOff>327156</xdr:colOff>
      <xdr:row>60</xdr:row>
      <xdr:rowOff>165190</xdr:rowOff>
    </xdr:to>
    <xdr:graphicFrame macro="">
      <xdr:nvGraphicFramePr>
        <xdr:cNvPr id="39" name="Chart 38">
          <a:extLst>
            <a:ext uri="{FF2B5EF4-FFF2-40B4-BE49-F238E27FC236}">
              <a16:creationId xmlns:a16="http://schemas.microsoft.com/office/drawing/2014/main" id="{732F863A-5210-4611-B908-A1CF473E5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54428</xdr:colOff>
      <xdr:row>21</xdr:row>
      <xdr:rowOff>0</xdr:rowOff>
    </xdr:from>
    <xdr:to>
      <xdr:col>32</xdr:col>
      <xdr:colOff>281137</xdr:colOff>
      <xdr:row>37</xdr:row>
      <xdr:rowOff>63861</xdr:rowOff>
    </xdr:to>
    <xdr:graphicFrame macro="">
      <xdr:nvGraphicFramePr>
        <xdr:cNvPr id="40" name="Chart 39">
          <a:extLst>
            <a:ext uri="{FF2B5EF4-FFF2-40B4-BE49-F238E27FC236}">
              <a16:creationId xmlns:a16="http://schemas.microsoft.com/office/drawing/2014/main" id="{6462CA94-61F4-4F96-8DFF-A40C8731A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0</xdr:colOff>
      <xdr:row>44</xdr:row>
      <xdr:rowOff>-1</xdr:rowOff>
    </xdr:from>
    <xdr:to>
      <xdr:col>32</xdr:col>
      <xdr:colOff>226709</xdr:colOff>
      <xdr:row>60</xdr:row>
      <xdr:rowOff>63860</xdr:rowOff>
    </xdr:to>
    <xdr:graphicFrame macro="">
      <xdr:nvGraphicFramePr>
        <xdr:cNvPr id="49" name="Chart 48">
          <a:extLst>
            <a:ext uri="{FF2B5EF4-FFF2-40B4-BE49-F238E27FC236}">
              <a16:creationId xmlns:a16="http://schemas.microsoft.com/office/drawing/2014/main" id="{8D14D913-0359-46D9-A8C0-152B5C128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33</xdr:col>
      <xdr:colOff>27214</xdr:colOff>
      <xdr:row>18</xdr:row>
      <xdr:rowOff>81643</xdr:rowOff>
    </xdr:from>
    <xdr:to>
      <xdr:col>33</xdr:col>
      <xdr:colOff>27214</xdr:colOff>
      <xdr:row>55</xdr:row>
      <xdr:rowOff>81643</xdr:rowOff>
    </xdr:to>
    <xdr:cxnSp macro="">
      <xdr:nvCxnSpPr>
        <xdr:cNvPr id="50" name="Straight Connector 49">
          <a:extLst>
            <a:ext uri="{FF2B5EF4-FFF2-40B4-BE49-F238E27FC236}">
              <a16:creationId xmlns:a16="http://schemas.microsoft.com/office/drawing/2014/main" id="{DD8CCC39-DBD1-B0A3-0240-359CDEA51CA2}"/>
            </a:ext>
          </a:extLst>
        </xdr:cNvPr>
        <xdr:cNvCxnSpPr/>
      </xdr:nvCxnSpPr>
      <xdr:spPr>
        <a:xfrm>
          <a:off x="19784785" y="3510643"/>
          <a:ext cx="0" cy="7048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0</xdr:colOff>
      <xdr:row>20</xdr:row>
      <xdr:rowOff>90652</xdr:rowOff>
    </xdr:from>
    <xdr:to>
      <xdr:col>38</xdr:col>
      <xdr:colOff>0</xdr:colOff>
      <xdr:row>25</xdr:row>
      <xdr:rowOff>26458</xdr:rowOff>
    </xdr:to>
    <mc:AlternateContent xmlns:mc="http://schemas.openxmlformats.org/markup-compatibility/2006" xmlns:a14="http://schemas.microsoft.com/office/drawing/2010/main">
      <mc:Choice Requires="a14">
        <xdr:graphicFrame macro="">
          <xdr:nvGraphicFramePr>
            <xdr:cNvPr id="51" name="Year 1">
              <a:extLst>
                <a:ext uri="{FF2B5EF4-FFF2-40B4-BE49-F238E27FC236}">
                  <a16:creationId xmlns:a16="http://schemas.microsoft.com/office/drawing/2014/main" id="{B6A2EDE7-997C-4E85-BB02-98AEAA26291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690417" y="3794819"/>
              <a:ext cx="2434166" cy="861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34</xdr:col>
      <xdr:colOff>0</xdr:colOff>
      <xdr:row>16</xdr:row>
      <xdr:rowOff>0</xdr:rowOff>
    </xdr:from>
    <xdr:to>
      <xdr:col>38</xdr:col>
      <xdr:colOff>0</xdr:colOff>
      <xdr:row>20</xdr:row>
      <xdr:rowOff>0</xdr:rowOff>
    </xdr:to>
    <xdr:sp macro="" textlink="">
      <xdr:nvSpPr>
        <xdr:cNvPr id="52" name="Rectangle 51">
          <a:extLst>
            <a:ext uri="{FF2B5EF4-FFF2-40B4-BE49-F238E27FC236}">
              <a16:creationId xmlns:a16="http://schemas.microsoft.com/office/drawing/2014/main" id="{4BD6D8E8-E842-7514-5986-90EEAEDB88C3}"/>
            </a:ext>
          </a:extLst>
        </xdr:cNvPr>
        <xdr:cNvSpPr/>
      </xdr:nvSpPr>
      <xdr:spPr>
        <a:xfrm>
          <a:off x="20356286" y="3048000"/>
          <a:ext cx="2394857" cy="76200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t>Year</a:t>
          </a:r>
        </a:p>
      </xdr:txBody>
    </xdr:sp>
    <xdr:clientData/>
  </xdr:twoCellAnchor>
  <xdr:twoCellAnchor>
    <xdr:from>
      <xdr:col>34</xdr:col>
      <xdr:colOff>0</xdr:colOff>
      <xdr:row>29</xdr:row>
      <xdr:rowOff>0</xdr:rowOff>
    </xdr:from>
    <xdr:to>
      <xdr:col>38</xdr:col>
      <xdr:colOff>0</xdr:colOff>
      <xdr:row>33</xdr:row>
      <xdr:rowOff>0</xdr:rowOff>
    </xdr:to>
    <xdr:sp macro="" textlink="">
      <xdr:nvSpPr>
        <xdr:cNvPr id="53" name="Rectangle 52">
          <a:extLst>
            <a:ext uri="{FF2B5EF4-FFF2-40B4-BE49-F238E27FC236}">
              <a16:creationId xmlns:a16="http://schemas.microsoft.com/office/drawing/2014/main" id="{3E6EDF98-7B27-6C01-A882-78DCB00AC22E}"/>
            </a:ext>
          </a:extLst>
        </xdr:cNvPr>
        <xdr:cNvSpPr/>
      </xdr:nvSpPr>
      <xdr:spPr>
        <a:xfrm>
          <a:off x="20356286" y="5524500"/>
          <a:ext cx="2394857" cy="7620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Company Size</a:t>
          </a:r>
        </a:p>
      </xdr:txBody>
    </xdr:sp>
    <xdr:clientData/>
  </xdr:twoCellAnchor>
  <xdr:twoCellAnchor>
    <xdr:from>
      <xdr:col>34</xdr:col>
      <xdr:colOff>0</xdr:colOff>
      <xdr:row>44</xdr:row>
      <xdr:rowOff>163286</xdr:rowOff>
    </xdr:from>
    <xdr:to>
      <xdr:col>38</xdr:col>
      <xdr:colOff>0</xdr:colOff>
      <xdr:row>48</xdr:row>
      <xdr:rowOff>163286</xdr:rowOff>
    </xdr:to>
    <xdr:sp macro="" textlink="">
      <xdr:nvSpPr>
        <xdr:cNvPr id="54" name="Rectangle 53">
          <a:extLst>
            <a:ext uri="{FF2B5EF4-FFF2-40B4-BE49-F238E27FC236}">
              <a16:creationId xmlns:a16="http://schemas.microsoft.com/office/drawing/2014/main" id="{F7D2B89B-121F-0AF1-C288-C332D8928E41}"/>
            </a:ext>
          </a:extLst>
        </xdr:cNvPr>
        <xdr:cNvSpPr/>
      </xdr:nvSpPr>
      <xdr:spPr>
        <a:xfrm>
          <a:off x="20356286" y="8545286"/>
          <a:ext cx="2394857" cy="7620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t>Country</a:t>
          </a:r>
        </a:p>
      </xdr:txBody>
    </xdr:sp>
    <xdr:clientData/>
  </xdr:twoCellAnchor>
  <xdr:twoCellAnchor editAs="oneCell">
    <xdr:from>
      <xdr:col>34</xdr:col>
      <xdr:colOff>0</xdr:colOff>
      <xdr:row>33</xdr:row>
      <xdr:rowOff>133876</xdr:rowOff>
    </xdr:from>
    <xdr:to>
      <xdr:col>38</xdr:col>
      <xdr:colOff>2939</xdr:colOff>
      <xdr:row>40</xdr:row>
      <xdr:rowOff>20542</xdr:rowOff>
    </xdr:to>
    <mc:AlternateContent xmlns:mc="http://schemas.openxmlformats.org/markup-compatibility/2006" xmlns:a14="http://schemas.microsoft.com/office/drawing/2010/main">
      <mc:Choice Requires="a14">
        <xdr:graphicFrame macro="">
          <xdr:nvGraphicFramePr>
            <xdr:cNvPr id="55" name="Company_Size 1">
              <a:extLst>
                <a:ext uri="{FF2B5EF4-FFF2-40B4-BE49-F238E27FC236}">
                  <a16:creationId xmlns:a16="http://schemas.microsoft.com/office/drawing/2014/main" id="{AE89F750-2B39-4341-AE12-CAFDA1C33B06}"/>
                </a:ext>
              </a:extLst>
            </xdr:cNvPr>
            <xdr:cNvGraphicFramePr/>
          </xdr:nvGraphicFramePr>
          <xdr:xfrm>
            <a:off x="0" y="0"/>
            <a:ext cx="0" cy="0"/>
          </xdr:xfrm>
          <a:graphic>
            <a:graphicData uri="http://schemas.microsoft.com/office/drawing/2010/slicer">
              <sle:slicer xmlns:sle="http://schemas.microsoft.com/office/drawing/2010/slicer" name="Company_Size 1"/>
            </a:graphicData>
          </a:graphic>
        </xdr:graphicFrame>
      </mc:Choice>
      <mc:Fallback xmlns="">
        <xdr:sp macro="" textlink="">
          <xdr:nvSpPr>
            <xdr:cNvPr id="0" name=""/>
            <xdr:cNvSpPr>
              <a:spLocks noTextEdit="1"/>
            </xdr:cNvSpPr>
          </xdr:nvSpPr>
          <xdr:spPr>
            <a:xfrm>
              <a:off x="20690417" y="6245751"/>
              <a:ext cx="2437105" cy="1183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52681</xdr:colOff>
      <xdr:row>49</xdr:row>
      <xdr:rowOff>109949</xdr:rowOff>
    </xdr:from>
    <xdr:to>
      <xdr:col>38</xdr:col>
      <xdr:colOff>0</xdr:colOff>
      <xdr:row>60</xdr:row>
      <xdr:rowOff>0</xdr:rowOff>
    </xdr:to>
    <mc:AlternateContent xmlns:mc="http://schemas.openxmlformats.org/markup-compatibility/2006" xmlns:a14="http://schemas.microsoft.com/office/drawing/2010/main">
      <mc:Choice Requires="a14">
        <xdr:graphicFrame macro="">
          <xdr:nvGraphicFramePr>
            <xdr:cNvPr id="56" name="Country 1">
              <a:extLst>
                <a:ext uri="{FF2B5EF4-FFF2-40B4-BE49-F238E27FC236}">
                  <a16:creationId xmlns:a16="http://schemas.microsoft.com/office/drawing/2014/main" id="{E5BD825E-6AA2-465C-B736-6726D191CAB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0743098" y="9185157"/>
              <a:ext cx="2381485" cy="1927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138305</xdr:colOff>
      <xdr:row>25</xdr:row>
      <xdr:rowOff>93464</xdr:rowOff>
    </xdr:from>
    <xdr:to>
      <xdr:col>4</xdr:col>
      <xdr:colOff>470236</xdr:colOff>
      <xdr:row>30</xdr:row>
      <xdr:rowOff>12366</xdr:rowOff>
    </xdr:to>
    <xdr:sp macro="" textlink="">
      <xdr:nvSpPr>
        <xdr:cNvPr id="57" name="Rectangle: Rounded Corners 56">
          <a:hlinkClick xmlns:r="http://schemas.openxmlformats.org/officeDocument/2006/relationships" r:id="rId13"/>
          <a:extLst>
            <a:ext uri="{FF2B5EF4-FFF2-40B4-BE49-F238E27FC236}">
              <a16:creationId xmlns:a16="http://schemas.microsoft.com/office/drawing/2014/main" id="{E07F3FF2-909C-8B0D-5A4C-99E6C866F0C2}"/>
            </a:ext>
          </a:extLst>
        </xdr:cNvPr>
        <xdr:cNvSpPr/>
      </xdr:nvSpPr>
      <xdr:spPr>
        <a:xfrm>
          <a:off x="138305" y="4723672"/>
          <a:ext cx="2766098" cy="844944"/>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Industry</a:t>
          </a:r>
        </a:p>
      </xdr:txBody>
    </xdr:sp>
    <xdr:clientData/>
  </xdr:twoCellAnchor>
  <xdr:twoCellAnchor>
    <xdr:from>
      <xdr:col>0</xdr:col>
      <xdr:colOff>102420</xdr:colOff>
      <xdr:row>31</xdr:row>
      <xdr:rowOff>141805</xdr:rowOff>
    </xdr:from>
    <xdr:to>
      <xdr:col>4</xdr:col>
      <xdr:colOff>434351</xdr:colOff>
      <xdr:row>36</xdr:row>
      <xdr:rowOff>69995</xdr:rowOff>
    </xdr:to>
    <xdr:sp macro="" textlink="">
      <xdr:nvSpPr>
        <xdr:cNvPr id="58" name="Rectangle: Rounded Corners 57">
          <a:hlinkClick xmlns:r="http://schemas.openxmlformats.org/officeDocument/2006/relationships" r:id="rId14"/>
          <a:extLst>
            <a:ext uri="{FF2B5EF4-FFF2-40B4-BE49-F238E27FC236}">
              <a16:creationId xmlns:a16="http://schemas.microsoft.com/office/drawing/2014/main" id="{187075BD-7515-958C-532D-66D9B0B1CBE5}"/>
            </a:ext>
          </a:extLst>
        </xdr:cNvPr>
        <xdr:cNvSpPr/>
      </xdr:nvSpPr>
      <xdr:spPr>
        <a:xfrm>
          <a:off x="102420" y="5883263"/>
          <a:ext cx="2766098" cy="854232"/>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Trends</a:t>
          </a:r>
          <a:endParaRPr lang="en-IN" sz="4400" b="1" cap="none" spc="0">
            <a:ln w="0">
              <a:solidFill>
                <a:sysClr val="windowText" lastClr="000000"/>
              </a:solid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97337</xdr:colOff>
      <xdr:row>38</xdr:row>
      <xdr:rowOff>75525</xdr:rowOff>
    </xdr:from>
    <xdr:to>
      <xdr:col>4</xdr:col>
      <xdr:colOff>429268</xdr:colOff>
      <xdr:row>42</xdr:row>
      <xdr:rowOff>179636</xdr:rowOff>
    </xdr:to>
    <xdr:sp macro="" textlink="">
      <xdr:nvSpPr>
        <xdr:cNvPr id="59" name="Rectangle: Rounded Corners 58">
          <a:hlinkClick xmlns:r="http://schemas.openxmlformats.org/officeDocument/2006/relationships" r:id="rId15"/>
          <a:extLst>
            <a:ext uri="{FF2B5EF4-FFF2-40B4-BE49-F238E27FC236}">
              <a16:creationId xmlns:a16="http://schemas.microsoft.com/office/drawing/2014/main" id="{DA5445B7-D30A-8E03-3495-FD4B8E2DB862}"/>
            </a:ext>
          </a:extLst>
        </xdr:cNvPr>
        <xdr:cNvSpPr/>
      </xdr:nvSpPr>
      <xdr:spPr>
        <a:xfrm>
          <a:off x="97337" y="7113442"/>
          <a:ext cx="2766098" cy="844944"/>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outerShdw blurRad="38100" dist="19050" dir="2700000" algn="tl" rotWithShape="0">
                  <a:schemeClr val="dk1">
                    <a:alpha val="40000"/>
                  </a:schemeClr>
                </a:outerShdw>
              </a:effectLst>
            </a:rPr>
            <a:t>WorkForce</a:t>
          </a:r>
          <a:endParaRPr lang="en-IN" sz="4000" b="1">
            <a:ln>
              <a:solidFill>
                <a:sysClr val="windowText" lastClr="000000"/>
              </a:solidFill>
            </a:ln>
            <a:solidFill>
              <a:schemeClr val="tx1"/>
            </a:solidFill>
          </a:endParaRPr>
        </a:p>
      </xdr:txBody>
    </xdr:sp>
    <xdr:clientData/>
  </xdr:twoCellAnchor>
  <xdr:twoCellAnchor>
    <xdr:from>
      <xdr:col>0</xdr:col>
      <xdr:colOff>92178</xdr:colOff>
      <xdr:row>45</xdr:row>
      <xdr:rowOff>34714</xdr:rowOff>
    </xdr:from>
    <xdr:to>
      <xdr:col>4</xdr:col>
      <xdr:colOff>424109</xdr:colOff>
      <xdr:row>49</xdr:row>
      <xdr:rowOff>115602</xdr:rowOff>
    </xdr:to>
    <xdr:sp macro="" textlink="">
      <xdr:nvSpPr>
        <xdr:cNvPr id="60" name="Rectangle: Rounded Corners 59">
          <a:hlinkClick xmlns:r="http://schemas.openxmlformats.org/officeDocument/2006/relationships" r:id="rId16"/>
          <a:extLst>
            <a:ext uri="{FF2B5EF4-FFF2-40B4-BE49-F238E27FC236}">
              <a16:creationId xmlns:a16="http://schemas.microsoft.com/office/drawing/2014/main" id="{7277C34F-DE35-E158-BC5B-7FE4FD7399AB}"/>
            </a:ext>
          </a:extLst>
        </xdr:cNvPr>
        <xdr:cNvSpPr/>
      </xdr:nvSpPr>
      <xdr:spPr>
        <a:xfrm>
          <a:off x="92178" y="8369089"/>
          <a:ext cx="2766098" cy="821721"/>
        </a:xfrm>
        <a:prstGeom prst="roundRect">
          <a:avLst/>
        </a:prstGeom>
        <a:solidFill>
          <a:srgbClr val="CBE2E7"/>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About</a:t>
          </a:r>
        </a:p>
      </xdr:txBody>
    </xdr:sp>
    <xdr:clientData/>
  </xdr:twoCellAnchor>
  <xdr:twoCellAnchor>
    <xdr:from>
      <xdr:col>0</xdr:col>
      <xdr:colOff>111847</xdr:colOff>
      <xdr:row>18</xdr:row>
      <xdr:rowOff>172839</xdr:rowOff>
    </xdr:from>
    <xdr:to>
      <xdr:col>4</xdr:col>
      <xdr:colOff>443778</xdr:colOff>
      <xdr:row>23</xdr:row>
      <xdr:rowOff>91741</xdr:rowOff>
    </xdr:to>
    <xdr:sp macro="" textlink="">
      <xdr:nvSpPr>
        <xdr:cNvPr id="32" name="Rectangle: Rounded Corners 31">
          <a:hlinkClick xmlns:r="http://schemas.openxmlformats.org/officeDocument/2006/relationships" r:id="rId17"/>
          <a:extLst>
            <a:ext uri="{FF2B5EF4-FFF2-40B4-BE49-F238E27FC236}">
              <a16:creationId xmlns:a16="http://schemas.microsoft.com/office/drawing/2014/main" id="{29386B76-61DF-7148-D99A-364636CE5713}"/>
            </a:ext>
          </a:extLst>
        </xdr:cNvPr>
        <xdr:cNvSpPr/>
      </xdr:nvSpPr>
      <xdr:spPr>
        <a:xfrm>
          <a:off x="111847" y="3506589"/>
          <a:ext cx="2766098" cy="84494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outerShdw blurRad="38100" dist="19050" dir="2700000" algn="tl" rotWithShape="0">
                  <a:schemeClr val="dk1">
                    <a:alpha val="40000"/>
                  </a:schemeClr>
                </a:outerShdw>
              </a:effectLst>
            </a:rPr>
            <a:t>Dashboard</a:t>
          </a:r>
        </a:p>
      </xdr:txBody>
    </xdr:sp>
    <xdr:clientData/>
  </xdr:twoCellAnchor>
  <xdr:twoCellAnchor editAs="oneCell">
    <xdr:from>
      <xdr:col>0</xdr:col>
      <xdr:colOff>0</xdr:colOff>
      <xdr:row>4</xdr:row>
      <xdr:rowOff>103533</xdr:rowOff>
    </xdr:from>
    <xdr:to>
      <xdr:col>4</xdr:col>
      <xdr:colOff>476249</xdr:colOff>
      <xdr:row>20</xdr:row>
      <xdr:rowOff>0</xdr:rowOff>
    </xdr:to>
    <xdr:pic>
      <xdr:nvPicPr>
        <xdr:cNvPr id="33" name="Picture 32">
          <a:extLst>
            <a:ext uri="{FF2B5EF4-FFF2-40B4-BE49-F238E27FC236}">
              <a16:creationId xmlns:a16="http://schemas.microsoft.com/office/drawing/2014/main" id="{9B322AD5-AE9E-41F0-B428-05449AFEFB3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0" y="848968"/>
          <a:ext cx="2878206" cy="28782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0</xdr:colOff>
      <xdr:row>65</xdr:row>
      <xdr:rowOff>30831</xdr:rowOff>
    </xdr:to>
    <xdr:sp macro="" textlink="">
      <xdr:nvSpPr>
        <xdr:cNvPr id="2" name="Rectangle 1">
          <a:extLst>
            <a:ext uri="{FF2B5EF4-FFF2-40B4-BE49-F238E27FC236}">
              <a16:creationId xmlns:a16="http://schemas.microsoft.com/office/drawing/2014/main" id="{3F98281D-1468-4783-98EE-2629F222DBD7}"/>
            </a:ext>
          </a:extLst>
        </xdr:cNvPr>
        <xdr:cNvSpPr/>
      </xdr:nvSpPr>
      <xdr:spPr>
        <a:xfrm>
          <a:off x="0" y="0"/>
          <a:ext cx="23733125" cy="12069373"/>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twoCellAnchor>
    <xdr:from>
      <xdr:col>0</xdr:col>
      <xdr:colOff>19049</xdr:colOff>
      <xdr:row>0</xdr:row>
      <xdr:rowOff>0</xdr:rowOff>
    </xdr:from>
    <xdr:to>
      <xdr:col>39</xdr:col>
      <xdr:colOff>0</xdr:colOff>
      <xdr:row>5</xdr:row>
      <xdr:rowOff>0</xdr:rowOff>
    </xdr:to>
    <xdr:sp macro="" textlink="">
      <xdr:nvSpPr>
        <xdr:cNvPr id="3" name="Rectangle 2">
          <a:extLst>
            <a:ext uri="{FF2B5EF4-FFF2-40B4-BE49-F238E27FC236}">
              <a16:creationId xmlns:a16="http://schemas.microsoft.com/office/drawing/2014/main" id="{ACFF8123-6272-4E22-9056-5093F1218996}"/>
            </a:ext>
          </a:extLst>
        </xdr:cNvPr>
        <xdr:cNvSpPr/>
      </xdr:nvSpPr>
      <xdr:spPr>
        <a:xfrm>
          <a:off x="19049" y="0"/>
          <a:ext cx="23755351" cy="952500"/>
        </a:xfrm>
        <a:prstGeom prst="rect">
          <a:avLst/>
        </a:prstGeom>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a:t>Recession</a:t>
          </a:r>
          <a:r>
            <a:rPr lang="en-IN" sz="6000" baseline="0"/>
            <a:t> Impact By Industry</a:t>
          </a:r>
          <a:endParaRPr lang="en-IN" sz="6000"/>
        </a:p>
      </xdr:txBody>
    </xdr:sp>
    <xdr:clientData/>
  </xdr:twoCellAnchor>
  <xdr:twoCellAnchor>
    <xdr:from>
      <xdr:col>8</xdr:col>
      <xdr:colOff>549544</xdr:colOff>
      <xdr:row>7</xdr:row>
      <xdr:rowOff>1612</xdr:rowOff>
    </xdr:from>
    <xdr:to>
      <xdr:col>36</xdr:col>
      <xdr:colOff>469732</xdr:colOff>
      <xdr:row>13</xdr:row>
      <xdr:rowOff>165652</xdr:rowOff>
    </xdr:to>
    <xdr:grpSp>
      <xdr:nvGrpSpPr>
        <xdr:cNvPr id="4" name="Group 3">
          <a:extLst>
            <a:ext uri="{FF2B5EF4-FFF2-40B4-BE49-F238E27FC236}">
              <a16:creationId xmlns:a16="http://schemas.microsoft.com/office/drawing/2014/main" id="{DC2C4AFA-0135-4650-9DE3-785668222706}"/>
            </a:ext>
          </a:extLst>
        </xdr:cNvPr>
        <xdr:cNvGrpSpPr/>
      </xdr:nvGrpSpPr>
      <xdr:grpSpPr>
        <a:xfrm>
          <a:off x="5353457" y="1306123"/>
          <a:ext cx="16733884" cy="1282192"/>
          <a:chOff x="2489059" y="652268"/>
          <a:chExt cx="17137949" cy="1366743"/>
        </a:xfrm>
      </xdr:grpSpPr>
      <xdr:grpSp>
        <xdr:nvGrpSpPr>
          <xdr:cNvPr id="5" name="Group 4">
            <a:extLst>
              <a:ext uri="{FF2B5EF4-FFF2-40B4-BE49-F238E27FC236}">
                <a16:creationId xmlns:a16="http://schemas.microsoft.com/office/drawing/2014/main" id="{265F154C-D918-8596-D35A-7DCD487754C3}"/>
              </a:ext>
            </a:extLst>
          </xdr:cNvPr>
          <xdr:cNvGrpSpPr/>
        </xdr:nvGrpSpPr>
        <xdr:grpSpPr>
          <a:xfrm>
            <a:off x="2489059" y="652268"/>
            <a:ext cx="17137949" cy="1366743"/>
            <a:chOff x="345915" y="652268"/>
            <a:chExt cx="17137949" cy="1366743"/>
          </a:xfrm>
        </xdr:grpSpPr>
        <xdr:sp macro="" textlink="">
          <xdr:nvSpPr>
            <xdr:cNvPr id="8" name="Rectangle: Rounded Corners 7">
              <a:extLst>
                <a:ext uri="{FF2B5EF4-FFF2-40B4-BE49-F238E27FC236}">
                  <a16:creationId xmlns:a16="http://schemas.microsoft.com/office/drawing/2014/main" id="{BAEC724D-7933-72DF-1C4B-3305918F89E1}"/>
                </a:ext>
              </a:extLst>
            </xdr:cNvPr>
            <xdr:cNvSpPr/>
          </xdr:nvSpPr>
          <xdr:spPr>
            <a:xfrm>
              <a:off x="345915" y="730973"/>
              <a:ext cx="4012132" cy="1210831"/>
            </a:xfrm>
            <a:prstGeom prst="roundRect">
              <a:avLst/>
            </a:prstGeom>
            <a:ln>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2400" b="1"/>
                <a:t>            Total Layoffs</a:t>
              </a:r>
            </a:p>
          </xdr:txBody>
        </xdr:sp>
        <xdr:sp macro="" textlink="">
          <xdr:nvSpPr>
            <xdr:cNvPr id="9" name="Rectangle: Rounded Corners 8">
              <a:extLst>
                <a:ext uri="{FF2B5EF4-FFF2-40B4-BE49-F238E27FC236}">
                  <a16:creationId xmlns:a16="http://schemas.microsoft.com/office/drawing/2014/main" id="{BF0FEDD9-9623-5790-9863-E925808ABBF1}"/>
                </a:ext>
              </a:extLst>
            </xdr:cNvPr>
            <xdr:cNvSpPr/>
          </xdr:nvSpPr>
          <xdr:spPr>
            <a:xfrm>
              <a:off x="4651667" y="713653"/>
              <a:ext cx="4012476" cy="1270722"/>
            </a:xfrm>
            <a:prstGeom prst="round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t>           Avg Salary Change</a:t>
              </a:r>
            </a:p>
          </xdr:txBody>
        </xdr:sp>
        <xdr:sp macro="" textlink="">
          <xdr:nvSpPr>
            <xdr:cNvPr id="10" name="Rectangle: Rounded Corners 9">
              <a:extLst>
                <a:ext uri="{FF2B5EF4-FFF2-40B4-BE49-F238E27FC236}">
                  <a16:creationId xmlns:a16="http://schemas.microsoft.com/office/drawing/2014/main" id="{A2F0E878-43D5-2236-7D02-605C01843CF4}"/>
                </a:ext>
              </a:extLst>
            </xdr:cNvPr>
            <xdr:cNvSpPr/>
          </xdr:nvSpPr>
          <xdr:spPr>
            <a:xfrm>
              <a:off x="8993189" y="721541"/>
              <a:ext cx="3830913" cy="1297470"/>
            </a:xfrm>
            <a:prstGeom prst="round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000" b="1"/>
                <a:t>            Highest Impact Industry</a:t>
              </a:r>
            </a:p>
          </xdr:txBody>
        </xdr:sp>
        <xdr:sp macro="" textlink="">
          <xdr:nvSpPr>
            <xdr:cNvPr id="11" name="Rectangle: Rounded Corners 10">
              <a:extLst>
                <a:ext uri="{FF2B5EF4-FFF2-40B4-BE49-F238E27FC236}">
                  <a16:creationId xmlns:a16="http://schemas.microsoft.com/office/drawing/2014/main" id="{2AF4F363-09A2-1F14-A43F-3238129E659E}"/>
                </a:ext>
              </a:extLst>
            </xdr:cNvPr>
            <xdr:cNvSpPr/>
          </xdr:nvSpPr>
          <xdr:spPr>
            <a:xfrm>
              <a:off x="13533438" y="652268"/>
              <a:ext cx="3950426" cy="1332107"/>
            </a:xfrm>
            <a:prstGeom prst="roundRect">
              <a:avLst/>
            </a:prstGeom>
            <a:ln>
              <a:solidFill>
                <a:schemeClr val="bg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000" b="1"/>
                <a:t>       Unemployment Rate</a:t>
              </a:r>
            </a:p>
          </xdr:txBody>
        </xdr:sp>
      </xdr:grpSp>
      <xdr:pic>
        <xdr:nvPicPr>
          <xdr:cNvPr id="6" name="Graphic 5" descr="Users with solid fill">
            <a:extLst>
              <a:ext uri="{FF2B5EF4-FFF2-40B4-BE49-F238E27FC236}">
                <a16:creationId xmlns:a16="http://schemas.microsoft.com/office/drawing/2014/main" id="{DAADCC33-832F-3618-2FE5-FA94A24F27B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0697" y="936754"/>
            <a:ext cx="925581" cy="963519"/>
          </a:xfrm>
          <a:prstGeom prst="rect">
            <a:avLst/>
          </a:prstGeom>
        </xdr:spPr>
      </xdr:pic>
      <xdr:sp macro="" textlink="pivot_tabels!B2">
        <xdr:nvSpPr>
          <xdr:cNvPr id="7" name="Rectangle 6">
            <a:extLst>
              <a:ext uri="{FF2B5EF4-FFF2-40B4-BE49-F238E27FC236}">
                <a16:creationId xmlns:a16="http://schemas.microsoft.com/office/drawing/2014/main" id="{E6A2A61C-7474-5AF7-BE4A-0A86FAC90146}"/>
              </a:ext>
            </a:extLst>
          </xdr:cNvPr>
          <xdr:cNvSpPr/>
        </xdr:nvSpPr>
        <xdr:spPr>
          <a:xfrm>
            <a:off x="3852871" y="1332498"/>
            <a:ext cx="2118959" cy="4157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53F75C-8A95-4C48-B0EB-DD1A0ADE7E1D}" type="TxLink">
              <a:rPr lang="en-US" sz="3600" b="1" i="0" u="none" strike="noStrike" cap="none" spc="0">
                <a:ln w="0"/>
                <a:solidFill>
                  <a:schemeClr val="accent1"/>
                </a:solidFill>
                <a:effectLst>
                  <a:outerShdw blurRad="38100" dist="25400" dir="5400000" algn="ctr" rotWithShape="0">
                    <a:srgbClr val="6E747A">
                      <a:alpha val="43000"/>
                    </a:srgbClr>
                  </a:outerShdw>
                </a:effectLst>
                <a:latin typeface="Calibri"/>
                <a:ea typeface="Calibri"/>
                <a:cs typeface="Calibri"/>
              </a:rPr>
              <a:pPr algn="ctr"/>
              <a:t>28,435</a:t>
            </a:fld>
            <a:endParaRPr lang="en-IN" sz="3600" b="1" cap="none" spc="0">
              <a:ln w="0"/>
              <a:solidFill>
                <a:schemeClr val="accent1"/>
              </a:solidFill>
              <a:effectLst>
                <a:outerShdw blurRad="38100" dist="25400" dir="5400000" algn="ctr" rotWithShape="0">
                  <a:srgbClr val="6E747A">
                    <a:alpha val="43000"/>
                  </a:srgbClr>
                </a:outerShdw>
              </a:effectLst>
            </a:endParaRPr>
          </a:p>
        </xdr:txBody>
      </xdr:sp>
    </xdr:grpSp>
    <xdr:clientData/>
  </xdr:twoCellAnchor>
  <xdr:twoCellAnchor editAs="oneCell">
    <xdr:from>
      <xdr:col>16</xdr:col>
      <xdr:colOff>59209</xdr:colOff>
      <xdr:row>8</xdr:row>
      <xdr:rowOff>7374</xdr:rowOff>
    </xdr:from>
    <xdr:to>
      <xdr:col>17</xdr:col>
      <xdr:colOff>345068</xdr:colOff>
      <xdr:row>13</xdr:row>
      <xdr:rowOff>0</xdr:rowOff>
    </xdr:to>
    <xdr:pic>
      <xdr:nvPicPr>
        <xdr:cNvPr id="12" name="Graphic 11" descr="Coins with solid fill">
          <a:extLst>
            <a:ext uri="{FF2B5EF4-FFF2-40B4-BE49-F238E27FC236}">
              <a16:creationId xmlns:a16="http://schemas.microsoft.com/office/drawing/2014/main" id="{DF4EE6E4-630B-4C25-8285-F4242C8AD1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67035" y="1498244"/>
          <a:ext cx="886348" cy="924419"/>
        </a:xfrm>
        <a:prstGeom prst="rect">
          <a:avLst/>
        </a:prstGeom>
      </xdr:spPr>
    </xdr:pic>
    <xdr:clientData/>
  </xdr:twoCellAnchor>
  <xdr:twoCellAnchor>
    <xdr:from>
      <xdr:col>17</xdr:col>
      <xdr:colOff>582723</xdr:colOff>
      <xdr:row>10</xdr:row>
      <xdr:rowOff>160215</xdr:rowOff>
    </xdr:from>
    <xdr:to>
      <xdr:col>21</xdr:col>
      <xdr:colOff>399295</xdr:colOff>
      <xdr:row>10</xdr:row>
      <xdr:rowOff>160215</xdr:rowOff>
    </xdr:to>
    <xdr:cxnSp macro="">
      <xdr:nvCxnSpPr>
        <xdr:cNvPr id="13" name="Straight Connector 12">
          <a:extLst>
            <a:ext uri="{FF2B5EF4-FFF2-40B4-BE49-F238E27FC236}">
              <a16:creationId xmlns:a16="http://schemas.microsoft.com/office/drawing/2014/main" id="{49D726B3-34FD-408C-A297-29A432759ADE}"/>
            </a:ext>
          </a:extLst>
        </xdr:cNvPr>
        <xdr:cNvCxnSpPr/>
      </xdr:nvCxnSpPr>
      <xdr:spPr>
        <a:xfrm flipV="1">
          <a:off x="10791038" y="2023802"/>
          <a:ext cx="2218529" cy="0"/>
        </a:xfrm>
        <a:prstGeom prst="line">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316776</xdr:colOff>
      <xdr:row>11</xdr:row>
      <xdr:rowOff>0</xdr:rowOff>
    </xdr:from>
    <xdr:to>
      <xdr:col>21</xdr:col>
      <xdr:colOff>208537</xdr:colOff>
      <xdr:row>13</xdr:row>
      <xdr:rowOff>97779</xdr:rowOff>
    </xdr:to>
    <xdr:sp macro="" textlink="pivot_tabels!B6">
      <xdr:nvSpPr>
        <xdr:cNvPr id="14" name="Rectangle 13">
          <a:extLst>
            <a:ext uri="{FF2B5EF4-FFF2-40B4-BE49-F238E27FC236}">
              <a16:creationId xmlns:a16="http://schemas.microsoft.com/office/drawing/2014/main" id="{8E558FB0-FA4E-44D1-B684-58EE4EC1154A}"/>
            </a:ext>
          </a:extLst>
        </xdr:cNvPr>
        <xdr:cNvSpPr/>
      </xdr:nvSpPr>
      <xdr:spPr>
        <a:xfrm>
          <a:off x="10525091" y="2049946"/>
          <a:ext cx="2293718" cy="4704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550C8A-DF9E-40B3-B403-F88F7F6278DF}" type="TxLink">
            <a:rPr lang="en-US" sz="3600" b="1" i="0" u="none" strike="noStrike" cap="none" spc="0">
              <a:ln w="0">
                <a:solidFill>
                  <a:schemeClr val="tx2">
                    <a:lumMod val="60000"/>
                    <a:lumOff val="40000"/>
                  </a:schemeClr>
                </a:solidFill>
              </a:ln>
              <a:solidFill>
                <a:schemeClr val="accent1"/>
              </a:solidFill>
              <a:effectLst>
                <a:outerShdw blurRad="38100" dist="25400" dir="5400000" algn="ctr" rotWithShape="0">
                  <a:srgbClr val="6E747A">
                    <a:alpha val="43000"/>
                  </a:srgbClr>
                </a:outerShdw>
              </a:effectLst>
              <a:latin typeface="Calibri"/>
              <a:ea typeface="Calibri"/>
              <a:cs typeface="Calibri"/>
            </a:rPr>
            <a:pPr algn="ctr"/>
            <a:t>-9.61%</a:t>
          </a:fld>
          <a:endParaRPr lang="en-IN" sz="3600" b="1" cap="none" spc="0">
            <a:ln w="0">
              <a:solidFill>
                <a:schemeClr val="tx2">
                  <a:lumMod val="60000"/>
                  <a:lumOff val="40000"/>
                </a:schemeClr>
              </a:solidFill>
            </a:ln>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23</xdr:col>
      <xdr:colOff>212848</xdr:colOff>
      <xdr:row>7</xdr:row>
      <xdr:rowOff>166128</xdr:rowOff>
    </xdr:from>
    <xdr:to>
      <xdr:col>24</xdr:col>
      <xdr:colOff>507085</xdr:colOff>
      <xdr:row>12</xdr:row>
      <xdr:rowOff>158753</xdr:rowOff>
    </xdr:to>
    <xdr:pic>
      <xdr:nvPicPr>
        <xdr:cNvPr id="15" name="Graphic 14" descr="Factory with solid fill">
          <a:extLst>
            <a:ext uri="{FF2B5EF4-FFF2-40B4-BE49-F238E27FC236}">
              <a16:creationId xmlns:a16="http://schemas.microsoft.com/office/drawing/2014/main" id="{8553BC85-3A05-43C6-86CB-C293D055080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024098" y="1470639"/>
          <a:ext cx="894726" cy="924418"/>
        </a:xfrm>
        <a:prstGeom prst="rect">
          <a:avLst/>
        </a:prstGeom>
      </xdr:spPr>
    </xdr:pic>
    <xdr:clientData/>
  </xdr:twoCellAnchor>
  <xdr:twoCellAnchor>
    <xdr:from>
      <xdr:col>24</xdr:col>
      <xdr:colOff>507380</xdr:colOff>
      <xdr:row>10</xdr:row>
      <xdr:rowOff>314</xdr:rowOff>
    </xdr:from>
    <xdr:to>
      <xdr:col>28</xdr:col>
      <xdr:colOff>323626</xdr:colOff>
      <xdr:row>10</xdr:row>
      <xdr:rowOff>314</xdr:rowOff>
    </xdr:to>
    <xdr:cxnSp macro="">
      <xdr:nvCxnSpPr>
        <xdr:cNvPr id="16" name="Straight Connector 15">
          <a:extLst>
            <a:ext uri="{FF2B5EF4-FFF2-40B4-BE49-F238E27FC236}">
              <a16:creationId xmlns:a16="http://schemas.microsoft.com/office/drawing/2014/main" id="{5796939D-FB5B-45D8-B46E-55C70C82A705}"/>
            </a:ext>
          </a:extLst>
        </xdr:cNvPr>
        <xdr:cNvCxnSpPr/>
      </xdr:nvCxnSpPr>
      <xdr:spPr>
        <a:xfrm flipV="1">
          <a:off x="14919119" y="1863901"/>
          <a:ext cx="2218203" cy="0"/>
        </a:xfrm>
        <a:prstGeom prst="line">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261318</xdr:colOff>
      <xdr:row>10</xdr:row>
      <xdr:rowOff>75591</xdr:rowOff>
    </xdr:from>
    <xdr:to>
      <xdr:col>28</xdr:col>
      <xdr:colOff>106721</xdr:colOff>
      <xdr:row>13</xdr:row>
      <xdr:rowOff>132293</xdr:rowOff>
    </xdr:to>
    <xdr:sp macro="" textlink="pivot_tabels!C10">
      <xdr:nvSpPr>
        <xdr:cNvPr id="17" name="Rectangle 16">
          <a:extLst>
            <a:ext uri="{FF2B5EF4-FFF2-40B4-BE49-F238E27FC236}">
              <a16:creationId xmlns:a16="http://schemas.microsoft.com/office/drawing/2014/main" id="{1702F900-1787-47FE-9C09-B172B2DA3D4C}"/>
            </a:ext>
          </a:extLst>
        </xdr:cNvPr>
        <xdr:cNvSpPr/>
      </xdr:nvSpPr>
      <xdr:spPr>
        <a:xfrm>
          <a:off x="14673057" y="1939178"/>
          <a:ext cx="2247360" cy="6157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73FE3D-3026-4165-82CE-F8E8B7797EDA}" type="TxLink">
            <a:rPr lang="en-US" sz="5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IT</a:t>
          </a:fld>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30</xdr:col>
      <xdr:colOff>358293</xdr:colOff>
      <xdr:row>8</xdr:row>
      <xdr:rowOff>7373</xdr:rowOff>
    </xdr:from>
    <xdr:to>
      <xdr:col>32</xdr:col>
      <xdr:colOff>57688</xdr:colOff>
      <xdr:row>13</xdr:row>
      <xdr:rowOff>0</xdr:rowOff>
    </xdr:to>
    <xdr:pic>
      <xdr:nvPicPr>
        <xdr:cNvPr id="18" name="Graphic 17" descr="Warning with solid fill">
          <a:extLst>
            <a:ext uri="{FF2B5EF4-FFF2-40B4-BE49-F238E27FC236}">
              <a16:creationId xmlns:a16="http://schemas.microsoft.com/office/drawing/2014/main" id="{74CE3503-1B4B-41A8-B540-63AB67C4F07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372967" y="1498243"/>
          <a:ext cx="900373" cy="924420"/>
        </a:xfrm>
        <a:prstGeom prst="rect">
          <a:avLst/>
        </a:prstGeom>
      </xdr:spPr>
    </xdr:pic>
    <xdr:clientData/>
  </xdr:twoCellAnchor>
  <xdr:twoCellAnchor>
    <xdr:from>
      <xdr:col>32</xdr:col>
      <xdr:colOff>110305</xdr:colOff>
      <xdr:row>10</xdr:row>
      <xdr:rowOff>0</xdr:rowOff>
    </xdr:from>
    <xdr:to>
      <xdr:col>35</xdr:col>
      <xdr:colOff>512372</xdr:colOff>
      <xdr:row>10</xdr:row>
      <xdr:rowOff>18955</xdr:rowOff>
    </xdr:to>
    <xdr:cxnSp macro="">
      <xdr:nvCxnSpPr>
        <xdr:cNvPr id="19" name="Straight Connector 18">
          <a:extLst>
            <a:ext uri="{FF2B5EF4-FFF2-40B4-BE49-F238E27FC236}">
              <a16:creationId xmlns:a16="http://schemas.microsoft.com/office/drawing/2014/main" id="{253551F2-C0FF-4D40-9C45-96A472243D80}"/>
            </a:ext>
          </a:extLst>
        </xdr:cNvPr>
        <xdr:cNvCxnSpPr/>
      </xdr:nvCxnSpPr>
      <xdr:spPr>
        <a:xfrm flipV="1">
          <a:off x="19325957" y="1863587"/>
          <a:ext cx="2203535" cy="18955"/>
        </a:xfrm>
        <a:prstGeom prst="line">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410573</xdr:colOff>
      <xdr:row>10</xdr:row>
      <xdr:rowOff>0</xdr:rowOff>
    </xdr:from>
    <xdr:to>
      <xdr:col>35</xdr:col>
      <xdr:colOff>576232</xdr:colOff>
      <xdr:row>12</xdr:row>
      <xdr:rowOff>73614</xdr:rowOff>
    </xdr:to>
    <xdr:sp macro="" textlink="pivot_tabels!B21">
      <xdr:nvSpPr>
        <xdr:cNvPr id="20" name="Rectangle 19">
          <a:extLst>
            <a:ext uri="{FF2B5EF4-FFF2-40B4-BE49-F238E27FC236}">
              <a16:creationId xmlns:a16="http://schemas.microsoft.com/office/drawing/2014/main" id="{55235A6A-7E1D-4368-9DDA-74386B810CAE}"/>
            </a:ext>
          </a:extLst>
        </xdr:cNvPr>
        <xdr:cNvSpPr/>
      </xdr:nvSpPr>
      <xdr:spPr>
        <a:xfrm>
          <a:off x="19025736" y="1863587"/>
          <a:ext cx="2567616" cy="4463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853543D-B393-49D4-8B59-23D10BBDE502}" type="TxLink">
            <a:rPr lang="en-US" sz="2800" b="1" i="0" u="none" strike="noStrike">
              <a:solidFill>
                <a:srgbClr val="FF0000"/>
              </a:solidFill>
              <a:latin typeface="Calibri"/>
              <a:ea typeface="Calibri"/>
              <a:cs typeface="Calibri"/>
            </a:rPr>
            <a:pPr algn="ctr"/>
            <a:t>7.9</a:t>
          </a:fld>
          <a:endParaRPr lang="en-IN" sz="2800" b="1">
            <a:solidFill>
              <a:srgbClr val="FF0000"/>
            </a:solidFill>
          </a:endParaRPr>
        </a:p>
      </xdr:txBody>
    </xdr:sp>
    <xdr:clientData/>
  </xdr:twoCellAnchor>
  <xdr:twoCellAnchor>
    <xdr:from>
      <xdr:col>11</xdr:col>
      <xdr:colOff>100583</xdr:colOff>
      <xdr:row>10</xdr:row>
      <xdr:rowOff>1465</xdr:rowOff>
    </xdr:from>
    <xdr:to>
      <xdr:col>14</xdr:col>
      <xdr:colOff>517645</xdr:colOff>
      <xdr:row>10</xdr:row>
      <xdr:rowOff>1465</xdr:rowOff>
    </xdr:to>
    <xdr:cxnSp macro="">
      <xdr:nvCxnSpPr>
        <xdr:cNvPr id="21" name="Straight Connector 20">
          <a:extLst>
            <a:ext uri="{FF2B5EF4-FFF2-40B4-BE49-F238E27FC236}">
              <a16:creationId xmlns:a16="http://schemas.microsoft.com/office/drawing/2014/main" id="{4F3FCC70-6B51-4039-8652-5AACE034E1CA}"/>
            </a:ext>
          </a:extLst>
        </xdr:cNvPr>
        <xdr:cNvCxnSpPr/>
      </xdr:nvCxnSpPr>
      <xdr:spPr>
        <a:xfrm flipV="1">
          <a:off x="6705963" y="1865052"/>
          <a:ext cx="2218530" cy="0"/>
        </a:xfrm>
        <a:prstGeom prst="line">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20706</xdr:colOff>
      <xdr:row>5</xdr:row>
      <xdr:rowOff>41414</xdr:rowOff>
    </xdr:from>
    <xdr:to>
      <xdr:col>5</xdr:col>
      <xdr:colOff>41413</xdr:colOff>
      <xdr:row>65</xdr:row>
      <xdr:rowOff>41413</xdr:rowOff>
    </xdr:to>
    <xdr:cxnSp macro="">
      <xdr:nvCxnSpPr>
        <xdr:cNvPr id="22" name="Straight Connector 21">
          <a:extLst>
            <a:ext uri="{FF2B5EF4-FFF2-40B4-BE49-F238E27FC236}">
              <a16:creationId xmlns:a16="http://schemas.microsoft.com/office/drawing/2014/main" id="{2449D6A7-9906-4ACE-B558-FE10BA3DC4AE}"/>
            </a:ext>
          </a:extLst>
        </xdr:cNvPr>
        <xdr:cNvCxnSpPr/>
      </xdr:nvCxnSpPr>
      <xdr:spPr>
        <a:xfrm>
          <a:off x="3023152" y="973207"/>
          <a:ext cx="20707" cy="1118152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138305</xdr:colOff>
      <xdr:row>25</xdr:row>
      <xdr:rowOff>93464</xdr:rowOff>
    </xdr:from>
    <xdr:to>
      <xdr:col>4</xdr:col>
      <xdr:colOff>470236</xdr:colOff>
      <xdr:row>30</xdr:row>
      <xdr:rowOff>12366</xdr:rowOff>
    </xdr:to>
    <xdr:sp macro="" textlink="">
      <xdr:nvSpPr>
        <xdr:cNvPr id="40" name="Rectangle: Rounded Corners 39">
          <a:hlinkClick xmlns:r="http://schemas.openxmlformats.org/officeDocument/2006/relationships" r:id="rId9"/>
          <a:extLst>
            <a:ext uri="{FF2B5EF4-FFF2-40B4-BE49-F238E27FC236}">
              <a16:creationId xmlns:a16="http://schemas.microsoft.com/office/drawing/2014/main" id="{109B7831-932F-4F8B-A3BC-4D41665F5D2A}"/>
            </a:ext>
          </a:extLst>
        </xdr:cNvPr>
        <xdr:cNvSpPr/>
      </xdr:nvSpPr>
      <xdr:spPr>
        <a:xfrm>
          <a:off x="138305" y="4855964"/>
          <a:ext cx="2770331" cy="8714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Industry</a:t>
          </a:r>
        </a:p>
      </xdr:txBody>
    </xdr:sp>
    <xdr:clientData/>
  </xdr:twoCellAnchor>
  <xdr:twoCellAnchor>
    <xdr:from>
      <xdr:col>0</xdr:col>
      <xdr:colOff>102420</xdr:colOff>
      <xdr:row>31</xdr:row>
      <xdr:rowOff>141805</xdr:rowOff>
    </xdr:from>
    <xdr:to>
      <xdr:col>4</xdr:col>
      <xdr:colOff>434351</xdr:colOff>
      <xdr:row>36</xdr:row>
      <xdr:rowOff>69995</xdr:rowOff>
    </xdr:to>
    <xdr:sp macro="" textlink="">
      <xdr:nvSpPr>
        <xdr:cNvPr id="41" name="Rectangle: Rounded Corners 40">
          <a:hlinkClick xmlns:r="http://schemas.openxmlformats.org/officeDocument/2006/relationships" r:id="rId10"/>
          <a:extLst>
            <a:ext uri="{FF2B5EF4-FFF2-40B4-BE49-F238E27FC236}">
              <a16:creationId xmlns:a16="http://schemas.microsoft.com/office/drawing/2014/main" id="{8E3C3C43-9E1C-4ABD-A992-06093C5514CE}"/>
            </a:ext>
          </a:extLst>
        </xdr:cNvPr>
        <xdr:cNvSpPr/>
      </xdr:nvSpPr>
      <xdr:spPr>
        <a:xfrm>
          <a:off x="102420" y="6047305"/>
          <a:ext cx="2770331" cy="880690"/>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Trends</a:t>
          </a:r>
          <a:endParaRPr lang="en-IN" sz="4400" b="1" cap="none" spc="0">
            <a:ln w="0">
              <a:solidFill>
                <a:sysClr val="windowText" lastClr="000000"/>
              </a:solid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97337</xdr:colOff>
      <xdr:row>38</xdr:row>
      <xdr:rowOff>75525</xdr:rowOff>
    </xdr:from>
    <xdr:to>
      <xdr:col>4</xdr:col>
      <xdr:colOff>429268</xdr:colOff>
      <xdr:row>42</xdr:row>
      <xdr:rowOff>179636</xdr:rowOff>
    </xdr:to>
    <xdr:sp macro="" textlink="">
      <xdr:nvSpPr>
        <xdr:cNvPr id="42" name="Rectangle: Rounded Corners 41">
          <a:extLst>
            <a:ext uri="{FF2B5EF4-FFF2-40B4-BE49-F238E27FC236}">
              <a16:creationId xmlns:a16="http://schemas.microsoft.com/office/drawing/2014/main" id="{5A4824A6-373F-4B44-B06F-394A590CB453}"/>
            </a:ext>
          </a:extLst>
        </xdr:cNvPr>
        <xdr:cNvSpPr/>
      </xdr:nvSpPr>
      <xdr:spPr>
        <a:xfrm>
          <a:off x="97337" y="7314525"/>
          <a:ext cx="2770331" cy="866111"/>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outerShdw blurRad="38100" dist="19050" dir="2700000" algn="tl" rotWithShape="0">
                  <a:schemeClr val="dk1">
                    <a:alpha val="40000"/>
                  </a:schemeClr>
                </a:outerShdw>
              </a:effectLst>
            </a:rPr>
            <a:t>WorkForce</a:t>
          </a:r>
          <a:endParaRPr lang="en-IN" sz="4000" b="1">
            <a:ln>
              <a:solidFill>
                <a:sysClr val="windowText" lastClr="000000"/>
              </a:solidFill>
            </a:ln>
            <a:solidFill>
              <a:schemeClr val="tx1"/>
            </a:solidFill>
          </a:endParaRPr>
        </a:p>
      </xdr:txBody>
    </xdr:sp>
    <xdr:clientData/>
  </xdr:twoCellAnchor>
  <xdr:twoCellAnchor>
    <xdr:from>
      <xdr:col>0</xdr:col>
      <xdr:colOff>92178</xdr:colOff>
      <xdr:row>45</xdr:row>
      <xdr:rowOff>34714</xdr:rowOff>
    </xdr:from>
    <xdr:to>
      <xdr:col>4</xdr:col>
      <xdr:colOff>424109</xdr:colOff>
      <xdr:row>49</xdr:row>
      <xdr:rowOff>115602</xdr:rowOff>
    </xdr:to>
    <xdr:sp macro="" textlink="">
      <xdr:nvSpPr>
        <xdr:cNvPr id="43" name="Rectangle: Rounded Corners 42">
          <a:hlinkClick xmlns:r="http://schemas.openxmlformats.org/officeDocument/2006/relationships" r:id="rId11"/>
          <a:extLst>
            <a:ext uri="{FF2B5EF4-FFF2-40B4-BE49-F238E27FC236}">
              <a16:creationId xmlns:a16="http://schemas.microsoft.com/office/drawing/2014/main" id="{5FC43C62-FF5D-4C27-AF71-01C24E165BF4}"/>
            </a:ext>
          </a:extLst>
        </xdr:cNvPr>
        <xdr:cNvSpPr/>
      </xdr:nvSpPr>
      <xdr:spPr>
        <a:xfrm>
          <a:off x="92178" y="8607214"/>
          <a:ext cx="2770331" cy="842888"/>
        </a:xfrm>
        <a:prstGeom prst="roundRect">
          <a:avLst/>
        </a:prstGeom>
        <a:solidFill>
          <a:srgbClr val="CBE2E7"/>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About</a:t>
          </a:r>
        </a:p>
      </xdr:txBody>
    </xdr:sp>
    <xdr:clientData/>
  </xdr:twoCellAnchor>
  <xdr:twoCellAnchor>
    <xdr:from>
      <xdr:col>0</xdr:col>
      <xdr:colOff>111847</xdr:colOff>
      <xdr:row>18</xdr:row>
      <xdr:rowOff>172839</xdr:rowOff>
    </xdr:from>
    <xdr:to>
      <xdr:col>4</xdr:col>
      <xdr:colOff>443778</xdr:colOff>
      <xdr:row>23</xdr:row>
      <xdr:rowOff>91741</xdr:rowOff>
    </xdr:to>
    <xdr:sp macro="" textlink="">
      <xdr:nvSpPr>
        <xdr:cNvPr id="44" name="Rectangle: Rounded Corners 43">
          <a:hlinkClick xmlns:r="http://schemas.openxmlformats.org/officeDocument/2006/relationships" r:id="rId12"/>
          <a:extLst>
            <a:ext uri="{FF2B5EF4-FFF2-40B4-BE49-F238E27FC236}">
              <a16:creationId xmlns:a16="http://schemas.microsoft.com/office/drawing/2014/main" id="{DECFD49C-203D-4E70-8D7C-52CDAED2C466}"/>
            </a:ext>
          </a:extLst>
        </xdr:cNvPr>
        <xdr:cNvSpPr/>
      </xdr:nvSpPr>
      <xdr:spPr>
        <a:xfrm>
          <a:off x="111847" y="3601839"/>
          <a:ext cx="2770331" cy="871402"/>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5</xdr:col>
      <xdr:colOff>423334</xdr:colOff>
      <xdr:row>17</xdr:row>
      <xdr:rowOff>52916</xdr:rowOff>
    </xdr:from>
    <xdr:to>
      <xdr:col>36</xdr:col>
      <xdr:colOff>423333</xdr:colOff>
      <xdr:row>22</xdr:row>
      <xdr:rowOff>132292</xdr:rowOff>
    </xdr:to>
    <xdr:sp macro="" textlink="">
      <xdr:nvSpPr>
        <xdr:cNvPr id="46" name="Rectangle: Rounded Corners 45">
          <a:extLst>
            <a:ext uri="{FF2B5EF4-FFF2-40B4-BE49-F238E27FC236}">
              <a16:creationId xmlns:a16="http://schemas.microsoft.com/office/drawing/2014/main" id="{4CB7F54F-4439-01F3-876D-AFD33819BF38}"/>
            </a:ext>
          </a:extLst>
        </xdr:cNvPr>
        <xdr:cNvSpPr/>
      </xdr:nvSpPr>
      <xdr:spPr>
        <a:xfrm>
          <a:off x="3466042" y="3201458"/>
          <a:ext cx="18864791" cy="1005417"/>
        </a:xfrm>
        <a:prstGeom prst="roundRect">
          <a:avLst/>
        </a:prstGeom>
        <a:solidFill>
          <a:schemeClr val="accent5">
            <a:lumMod val="20000"/>
            <a:lumOff val="80000"/>
          </a:schemeClr>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0" cap="none" spc="0">
              <a:ln w="0"/>
              <a:solidFill>
                <a:schemeClr val="tx1"/>
              </a:solidFill>
              <a:effectLst>
                <a:outerShdw blurRad="38100" dist="19050" dir="2700000" algn="tl" rotWithShape="0">
                  <a:schemeClr val="dk1">
                    <a:alpha val="40000"/>
                  </a:schemeClr>
                </a:outerShdw>
              </a:effectLst>
            </a:rPr>
            <a:t>Negative % indicates job due to recession</a:t>
          </a:r>
        </a:p>
      </xdr:txBody>
    </xdr:sp>
    <xdr:clientData/>
  </xdr:twoCellAnchor>
  <xdr:twoCellAnchor>
    <xdr:from>
      <xdr:col>6</xdr:col>
      <xdr:colOff>26458</xdr:colOff>
      <xdr:row>25</xdr:row>
      <xdr:rowOff>158750</xdr:rowOff>
    </xdr:from>
    <xdr:to>
      <xdr:col>21</xdr:col>
      <xdr:colOff>449792</xdr:colOff>
      <xdr:row>57</xdr:row>
      <xdr:rowOff>52917</xdr:rowOff>
    </xdr:to>
    <xdr:sp macro="" textlink="">
      <xdr:nvSpPr>
        <xdr:cNvPr id="47" name="Rectangle: Rounded Corners 46">
          <a:extLst>
            <a:ext uri="{FF2B5EF4-FFF2-40B4-BE49-F238E27FC236}">
              <a16:creationId xmlns:a16="http://schemas.microsoft.com/office/drawing/2014/main" id="{F43DA45B-836A-3DC1-6D49-DC93B6B6EE17}"/>
            </a:ext>
          </a:extLst>
        </xdr:cNvPr>
        <xdr:cNvSpPr/>
      </xdr:nvSpPr>
      <xdr:spPr>
        <a:xfrm>
          <a:off x="3677708" y="4788958"/>
          <a:ext cx="9551459" cy="5820834"/>
        </a:xfrm>
        <a:prstGeom prst="roundRect">
          <a:avLst>
            <a:gd name="adj" fmla="val 80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0" cap="none" spc="0">
              <a:ln w="0"/>
              <a:solidFill>
                <a:schemeClr val="tx1"/>
              </a:solidFill>
              <a:effectLst>
                <a:outerShdw blurRad="38100" dist="19050" dir="2700000" algn="tl" rotWithShape="0">
                  <a:schemeClr val="dk1">
                    <a:alpha val="40000"/>
                  </a:schemeClr>
                </a:outerShdw>
              </a:effectLst>
            </a:rPr>
            <a:t>Avg</a:t>
          </a:r>
          <a:r>
            <a:rPr lang="en-IN" sz="4000" b="0" cap="none" spc="0" baseline="0">
              <a:ln w="0"/>
              <a:solidFill>
                <a:schemeClr val="tx1"/>
              </a:solidFill>
              <a:effectLst>
                <a:outerShdw blurRad="38100" dist="19050" dir="2700000" algn="tl" rotWithShape="0">
                  <a:schemeClr val="dk1">
                    <a:alpha val="40000"/>
                  </a:schemeClr>
                </a:outerShdw>
              </a:effectLst>
            </a:rPr>
            <a:t> Job Change % By Industry</a:t>
          </a:r>
          <a:endParaRPr lang="en-IN" sz="4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22</xdr:col>
      <xdr:colOff>370416</xdr:colOff>
      <xdr:row>26</xdr:row>
      <xdr:rowOff>0</xdr:rowOff>
    </xdr:from>
    <xdr:to>
      <xdr:col>38</xdr:col>
      <xdr:colOff>185209</xdr:colOff>
      <xdr:row>57</xdr:row>
      <xdr:rowOff>79376</xdr:rowOff>
    </xdr:to>
    <xdr:sp macro="" textlink="">
      <xdr:nvSpPr>
        <xdr:cNvPr id="48" name="Rectangle: Rounded Corners 47">
          <a:extLst>
            <a:ext uri="{FF2B5EF4-FFF2-40B4-BE49-F238E27FC236}">
              <a16:creationId xmlns:a16="http://schemas.microsoft.com/office/drawing/2014/main" id="{82CB0233-9DF5-69BF-3BEA-5FBB534B3F29}"/>
            </a:ext>
          </a:extLst>
        </xdr:cNvPr>
        <xdr:cNvSpPr/>
      </xdr:nvSpPr>
      <xdr:spPr>
        <a:xfrm>
          <a:off x="13758333" y="4815417"/>
          <a:ext cx="9551459" cy="5820834"/>
        </a:xfrm>
        <a:prstGeom prst="roundRect">
          <a:avLst>
            <a:gd name="adj" fmla="val 80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0" cap="none" spc="0">
              <a:ln w="0"/>
              <a:solidFill>
                <a:schemeClr val="tx1"/>
              </a:solidFill>
              <a:effectLst>
                <a:outerShdw blurRad="38100" dist="19050" dir="2700000" algn="tl" rotWithShape="0">
                  <a:schemeClr val="dk1">
                    <a:alpha val="40000"/>
                  </a:schemeClr>
                </a:outerShdw>
              </a:effectLst>
            </a:rPr>
            <a:t>Avg Salary Change % By Industry</a:t>
          </a:r>
          <a:endParaRPr lang="en-IN" sz="3600"/>
        </a:p>
      </xdr:txBody>
    </xdr:sp>
    <xdr:clientData/>
  </xdr:twoCellAnchor>
  <xdr:twoCellAnchor>
    <xdr:from>
      <xdr:col>7</xdr:col>
      <xdr:colOff>216958</xdr:colOff>
      <xdr:row>33</xdr:row>
      <xdr:rowOff>91016</xdr:rowOff>
    </xdr:from>
    <xdr:to>
      <xdr:col>20</xdr:col>
      <xdr:colOff>4233</xdr:colOff>
      <xdr:row>53</xdr:row>
      <xdr:rowOff>64559</xdr:rowOff>
    </xdr:to>
    <xdr:graphicFrame macro="">
      <xdr:nvGraphicFramePr>
        <xdr:cNvPr id="49" name="Chart 48">
          <a:extLst>
            <a:ext uri="{FF2B5EF4-FFF2-40B4-BE49-F238E27FC236}">
              <a16:creationId xmlns:a16="http://schemas.microsoft.com/office/drawing/2014/main" id="{407CB7D0-3DFB-42BF-B0DE-DBC6CC460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381000</xdr:colOff>
      <xdr:row>33</xdr:row>
      <xdr:rowOff>38100</xdr:rowOff>
    </xdr:from>
    <xdr:to>
      <xdr:col>36</xdr:col>
      <xdr:colOff>380999</xdr:colOff>
      <xdr:row>53</xdr:row>
      <xdr:rowOff>152400</xdr:rowOff>
    </xdr:to>
    <xdr:graphicFrame macro="">
      <xdr:nvGraphicFramePr>
        <xdr:cNvPr id="52" name="Chart 51">
          <a:extLst>
            <a:ext uri="{FF2B5EF4-FFF2-40B4-BE49-F238E27FC236}">
              <a16:creationId xmlns:a16="http://schemas.microsoft.com/office/drawing/2014/main" id="{42D02D5D-2A1B-441B-B259-8DA5804A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0</xdr:colOff>
      <xdr:row>4</xdr:row>
      <xdr:rowOff>82830</xdr:rowOff>
    </xdr:from>
    <xdr:to>
      <xdr:col>4</xdr:col>
      <xdr:colOff>476249</xdr:colOff>
      <xdr:row>19</xdr:row>
      <xdr:rowOff>165656</xdr:rowOff>
    </xdr:to>
    <xdr:pic>
      <xdr:nvPicPr>
        <xdr:cNvPr id="26" name="Picture 25">
          <a:extLst>
            <a:ext uri="{FF2B5EF4-FFF2-40B4-BE49-F238E27FC236}">
              <a16:creationId xmlns:a16="http://schemas.microsoft.com/office/drawing/2014/main" id="{7FA0A754-CA7A-437A-3524-726A5902D1D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0" y="828265"/>
          <a:ext cx="2878206" cy="28782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0</xdr:colOff>
      <xdr:row>65</xdr:row>
      <xdr:rowOff>30831</xdr:rowOff>
    </xdr:to>
    <xdr:sp macro="" textlink="">
      <xdr:nvSpPr>
        <xdr:cNvPr id="2" name="Rectangle 1">
          <a:extLst>
            <a:ext uri="{FF2B5EF4-FFF2-40B4-BE49-F238E27FC236}">
              <a16:creationId xmlns:a16="http://schemas.microsoft.com/office/drawing/2014/main" id="{0062AE91-B816-42A8-B07A-6E1695D36C86}"/>
            </a:ext>
          </a:extLst>
        </xdr:cNvPr>
        <xdr:cNvSpPr/>
      </xdr:nvSpPr>
      <xdr:spPr>
        <a:xfrm>
          <a:off x="0" y="0"/>
          <a:ext cx="23774400" cy="12413331"/>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twoCellAnchor>
    <xdr:from>
      <xdr:col>0</xdr:col>
      <xdr:colOff>19049</xdr:colOff>
      <xdr:row>0</xdr:row>
      <xdr:rowOff>0</xdr:rowOff>
    </xdr:from>
    <xdr:to>
      <xdr:col>39</xdr:col>
      <xdr:colOff>0</xdr:colOff>
      <xdr:row>5</xdr:row>
      <xdr:rowOff>0</xdr:rowOff>
    </xdr:to>
    <xdr:sp macro="" textlink="">
      <xdr:nvSpPr>
        <xdr:cNvPr id="3" name="Rectangle 2">
          <a:extLst>
            <a:ext uri="{FF2B5EF4-FFF2-40B4-BE49-F238E27FC236}">
              <a16:creationId xmlns:a16="http://schemas.microsoft.com/office/drawing/2014/main" id="{593C4DF3-4633-4882-AB91-C023AF9ADACA}"/>
            </a:ext>
          </a:extLst>
        </xdr:cNvPr>
        <xdr:cNvSpPr/>
      </xdr:nvSpPr>
      <xdr:spPr>
        <a:xfrm>
          <a:off x="19049" y="0"/>
          <a:ext cx="23755351" cy="952500"/>
        </a:xfrm>
        <a:prstGeom prst="rect">
          <a:avLst/>
        </a:prstGeom>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a:t>Recession</a:t>
          </a:r>
          <a:r>
            <a:rPr lang="en-IN" sz="6000" baseline="0"/>
            <a:t> Trends  Dashboard</a:t>
          </a:r>
          <a:endParaRPr lang="en-IN" sz="6000"/>
        </a:p>
      </xdr:txBody>
    </xdr:sp>
    <xdr:clientData/>
  </xdr:twoCellAnchor>
  <xdr:twoCellAnchor>
    <xdr:from>
      <xdr:col>5</xdr:col>
      <xdr:colOff>20706</xdr:colOff>
      <xdr:row>4</xdr:row>
      <xdr:rowOff>144945</xdr:rowOff>
    </xdr:from>
    <xdr:to>
      <xdr:col>5</xdr:col>
      <xdr:colOff>82826</xdr:colOff>
      <xdr:row>65</xdr:row>
      <xdr:rowOff>0</xdr:rowOff>
    </xdr:to>
    <xdr:cxnSp macro="">
      <xdr:nvCxnSpPr>
        <xdr:cNvPr id="22" name="Straight Connector 21">
          <a:extLst>
            <a:ext uri="{FF2B5EF4-FFF2-40B4-BE49-F238E27FC236}">
              <a16:creationId xmlns:a16="http://schemas.microsoft.com/office/drawing/2014/main" id="{F60CD54C-8BE8-4A72-9E80-948AB225ECD5}"/>
            </a:ext>
          </a:extLst>
        </xdr:cNvPr>
        <xdr:cNvCxnSpPr/>
      </xdr:nvCxnSpPr>
      <xdr:spPr>
        <a:xfrm flipH="1">
          <a:off x="3023152" y="890380"/>
          <a:ext cx="62120" cy="1122293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138305</xdr:colOff>
      <xdr:row>25</xdr:row>
      <xdr:rowOff>93464</xdr:rowOff>
    </xdr:from>
    <xdr:to>
      <xdr:col>4</xdr:col>
      <xdr:colOff>470236</xdr:colOff>
      <xdr:row>30</xdr:row>
      <xdr:rowOff>12366</xdr:rowOff>
    </xdr:to>
    <xdr:sp macro="" textlink="">
      <xdr:nvSpPr>
        <xdr:cNvPr id="23" name="Rectangle: Rounded Corners 22">
          <a:hlinkClick xmlns:r="http://schemas.openxmlformats.org/officeDocument/2006/relationships" r:id="rId1"/>
          <a:extLst>
            <a:ext uri="{FF2B5EF4-FFF2-40B4-BE49-F238E27FC236}">
              <a16:creationId xmlns:a16="http://schemas.microsoft.com/office/drawing/2014/main" id="{E16DCBBB-A187-415F-9D96-156F07CC5B02}"/>
            </a:ext>
          </a:extLst>
        </xdr:cNvPr>
        <xdr:cNvSpPr/>
      </xdr:nvSpPr>
      <xdr:spPr>
        <a:xfrm>
          <a:off x="138305" y="4855964"/>
          <a:ext cx="2770331" cy="871402"/>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Industry</a:t>
          </a:r>
        </a:p>
      </xdr:txBody>
    </xdr:sp>
    <xdr:clientData/>
  </xdr:twoCellAnchor>
  <xdr:twoCellAnchor>
    <xdr:from>
      <xdr:col>0</xdr:col>
      <xdr:colOff>102420</xdr:colOff>
      <xdr:row>31</xdr:row>
      <xdr:rowOff>141805</xdr:rowOff>
    </xdr:from>
    <xdr:to>
      <xdr:col>4</xdr:col>
      <xdr:colOff>434351</xdr:colOff>
      <xdr:row>36</xdr:row>
      <xdr:rowOff>69995</xdr:rowOff>
    </xdr:to>
    <xdr:sp macro="" textlink="">
      <xdr:nvSpPr>
        <xdr:cNvPr id="24" name="Rectangle: Rounded Corners 23">
          <a:hlinkClick xmlns:r="http://schemas.openxmlformats.org/officeDocument/2006/relationships" r:id="rId2"/>
          <a:extLst>
            <a:ext uri="{FF2B5EF4-FFF2-40B4-BE49-F238E27FC236}">
              <a16:creationId xmlns:a16="http://schemas.microsoft.com/office/drawing/2014/main" id="{4DDE207F-FA7A-4591-8A21-B5053BF9C41D}"/>
            </a:ext>
          </a:extLst>
        </xdr:cNvPr>
        <xdr:cNvSpPr/>
      </xdr:nvSpPr>
      <xdr:spPr>
        <a:xfrm>
          <a:off x="102420" y="6047305"/>
          <a:ext cx="2770331" cy="88069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Trends</a:t>
          </a:r>
          <a:endParaRPr lang="en-IN" sz="4400" b="1" cap="none" spc="0">
            <a:ln w="0">
              <a:solidFill>
                <a:sysClr val="windowText" lastClr="000000"/>
              </a:solid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97337</xdr:colOff>
      <xdr:row>38</xdr:row>
      <xdr:rowOff>75525</xdr:rowOff>
    </xdr:from>
    <xdr:to>
      <xdr:col>4</xdr:col>
      <xdr:colOff>429268</xdr:colOff>
      <xdr:row>42</xdr:row>
      <xdr:rowOff>179636</xdr:rowOff>
    </xdr:to>
    <xdr:sp macro="" textlink="">
      <xdr:nvSpPr>
        <xdr:cNvPr id="25" name="Rectangle: Rounded Corners 24">
          <a:hlinkClick xmlns:r="http://schemas.openxmlformats.org/officeDocument/2006/relationships" r:id="rId3"/>
          <a:extLst>
            <a:ext uri="{FF2B5EF4-FFF2-40B4-BE49-F238E27FC236}">
              <a16:creationId xmlns:a16="http://schemas.microsoft.com/office/drawing/2014/main" id="{5920B12F-A8DB-4B10-818A-5D46F4554349}"/>
            </a:ext>
          </a:extLst>
        </xdr:cNvPr>
        <xdr:cNvSpPr/>
      </xdr:nvSpPr>
      <xdr:spPr>
        <a:xfrm>
          <a:off x="97337" y="7314525"/>
          <a:ext cx="2770331" cy="866111"/>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outerShdw blurRad="38100" dist="19050" dir="2700000" algn="tl" rotWithShape="0">
                  <a:schemeClr val="dk1">
                    <a:alpha val="40000"/>
                  </a:schemeClr>
                </a:outerShdw>
              </a:effectLst>
            </a:rPr>
            <a:t>WorkForce</a:t>
          </a:r>
          <a:endParaRPr lang="en-IN" sz="4000" b="1">
            <a:ln>
              <a:solidFill>
                <a:sysClr val="windowText" lastClr="000000"/>
              </a:solidFill>
            </a:ln>
            <a:solidFill>
              <a:schemeClr val="tx1"/>
            </a:solidFill>
          </a:endParaRPr>
        </a:p>
      </xdr:txBody>
    </xdr:sp>
    <xdr:clientData/>
  </xdr:twoCellAnchor>
  <xdr:twoCellAnchor>
    <xdr:from>
      <xdr:col>0</xdr:col>
      <xdr:colOff>92178</xdr:colOff>
      <xdr:row>45</xdr:row>
      <xdr:rowOff>34714</xdr:rowOff>
    </xdr:from>
    <xdr:to>
      <xdr:col>4</xdr:col>
      <xdr:colOff>424109</xdr:colOff>
      <xdr:row>49</xdr:row>
      <xdr:rowOff>115602</xdr:rowOff>
    </xdr:to>
    <xdr:sp macro="" textlink="">
      <xdr:nvSpPr>
        <xdr:cNvPr id="26" name="Rectangle: Rounded Corners 25">
          <a:hlinkClick xmlns:r="http://schemas.openxmlformats.org/officeDocument/2006/relationships" r:id="rId4"/>
          <a:extLst>
            <a:ext uri="{FF2B5EF4-FFF2-40B4-BE49-F238E27FC236}">
              <a16:creationId xmlns:a16="http://schemas.microsoft.com/office/drawing/2014/main" id="{31A50573-76F2-4004-8001-AA06A49B1609}"/>
            </a:ext>
          </a:extLst>
        </xdr:cNvPr>
        <xdr:cNvSpPr/>
      </xdr:nvSpPr>
      <xdr:spPr>
        <a:xfrm>
          <a:off x="92178" y="8607214"/>
          <a:ext cx="2770331" cy="842888"/>
        </a:xfrm>
        <a:prstGeom prst="roundRect">
          <a:avLst/>
        </a:prstGeom>
        <a:solidFill>
          <a:srgbClr val="CBE2E7"/>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About</a:t>
          </a:r>
        </a:p>
      </xdr:txBody>
    </xdr:sp>
    <xdr:clientData/>
  </xdr:twoCellAnchor>
  <xdr:twoCellAnchor>
    <xdr:from>
      <xdr:col>0</xdr:col>
      <xdr:colOff>111847</xdr:colOff>
      <xdr:row>18</xdr:row>
      <xdr:rowOff>172839</xdr:rowOff>
    </xdr:from>
    <xdr:to>
      <xdr:col>4</xdr:col>
      <xdr:colOff>443778</xdr:colOff>
      <xdr:row>23</xdr:row>
      <xdr:rowOff>91741</xdr:rowOff>
    </xdr:to>
    <xdr:sp macro="" textlink="">
      <xdr:nvSpPr>
        <xdr:cNvPr id="27" name="Rectangle: Rounded Corners 26">
          <a:hlinkClick xmlns:r="http://schemas.openxmlformats.org/officeDocument/2006/relationships" r:id="rId5"/>
          <a:extLst>
            <a:ext uri="{FF2B5EF4-FFF2-40B4-BE49-F238E27FC236}">
              <a16:creationId xmlns:a16="http://schemas.microsoft.com/office/drawing/2014/main" id="{7D95F642-2EBD-4C0F-B769-6F3EF35C50A4}"/>
            </a:ext>
          </a:extLst>
        </xdr:cNvPr>
        <xdr:cNvSpPr/>
      </xdr:nvSpPr>
      <xdr:spPr>
        <a:xfrm>
          <a:off x="111847" y="3601839"/>
          <a:ext cx="2770331" cy="871402"/>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6</xdr:col>
      <xdr:colOff>190499</xdr:colOff>
      <xdr:row>7</xdr:row>
      <xdr:rowOff>158749</xdr:rowOff>
    </xdr:from>
    <xdr:to>
      <xdr:col>22</xdr:col>
      <xdr:colOff>158750</xdr:colOff>
      <xdr:row>18</xdr:row>
      <xdr:rowOff>31750</xdr:rowOff>
    </xdr:to>
    <xdr:sp macro="" textlink="pivot_tabels!C52">
      <xdr:nvSpPr>
        <xdr:cNvPr id="33" name="Rectangle: Rounded Corners 32">
          <a:extLst>
            <a:ext uri="{FF2B5EF4-FFF2-40B4-BE49-F238E27FC236}">
              <a16:creationId xmlns:a16="http://schemas.microsoft.com/office/drawing/2014/main" id="{3F33C643-41D6-278B-9613-6302E33B47EC}"/>
            </a:ext>
          </a:extLst>
        </xdr:cNvPr>
        <xdr:cNvSpPr/>
      </xdr:nvSpPr>
      <xdr:spPr>
        <a:xfrm>
          <a:off x="3809999" y="1492249"/>
          <a:ext cx="9620251" cy="196850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7200" b="0" i="0" u="none" strike="noStrike" cap="none" spc="0">
              <a:ln w="0"/>
              <a:solidFill>
                <a:srgbClr val="C00000"/>
              </a:solidFill>
              <a:effectLst>
                <a:outerShdw blurRad="38100" dist="19050" dir="2700000" algn="tl" rotWithShape="0">
                  <a:schemeClr val="dk1">
                    <a:alpha val="40000"/>
                  </a:schemeClr>
                </a:outerShdw>
              </a:effectLst>
              <a:latin typeface="Calibri"/>
              <a:ea typeface="Calibri"/>
              <a:cs typeface="Calibri"/>
            </a:rPr>
            <a:t>                        </a:t>
          </a:r>
          <a:fld id="{D76553D0-3886-4E1A-A8A4-F2F84E85F8EE}" type="TxLink">
            <a:rPr lang="en-US" sz="7200" b="0" i="0" u="none" strike="noStrike" cap="none" spc="0">
              <a:ln w="0"/>
              <a:solidFill>
                <a:srgbClr val="C00000"/>
              </a:solidFill>
              <a:effectLst>
                <a:outerShdw blurRad="38100" dist="19050" dir="2700000" algn="tl" rotWithShape="0">
                  <a:schemeClr val="dk1">
                    <a:alpha val="40000"/>
                  </a:schemeClr>
                </a:outerShdw>
              </a:effectLst>
              <a:latin typeface="Calibri"/>
              <a:ea typeface="Calibri"/>
              <a:cs typeface="Calibri"/>
            </a:rPr>
            <a:pPr algn="l"/>
            <a:t>-14%</a:t>
          </a:fld>
          <a:endParaRPr lang="en-IN" sz="7200" b="0" cap="none" spc="0">
            <a:ln w="0"/>
            <a:solidFill>
              <a:srgbClr val="C00000"/>
            </a:solidFill>
            <a:effectLst>
              <a:outerShdw blurRad="38100" dist="19050" dir="2700000" algn="tl" rotWithShape="0">
                <a:schemeClr val="dk1">
                  <a:alpha val="40000"/>
                </a:schemeClr>
              </a:outerShdw>
            </a:effectLst>
          </a:endParaRPr>
        </a:p>
      </xdr:txBody>
    </xdr:sp>
    <xdr:clientData/>
  </xdr:twoCellAnchor>
  <xdr:twoCellAnchor>
    <xdr:from>
      <xdr:col>10</xdr:col>
      <xdr:colOff>418171</xdr:colOff>
      <xdr:row>20</xdr:row>
      <xdr:rowOff>92927</xdr:rowOff>
    </xdr:from>
    <xdr:to>
      <xdr:col>32</xdr:col>
      <xdr:colOff>185854</xdr:colOff>
      <xdr:row>60</xdr:row>
      <xdr:rowOff>116158</xdr:rowOff>
    </xdr:to>
    <xdr:graphicFrame macro="">
      <xdr:nvGraphicFramePr>
        <xdr:cNvPr id="35" name="Chart 34">
          <a:extLst>
            <a:ext uri="{FF2B5EF4-FFF2-40B4-BE49-F238E27FC236}">
              <a16:creationId xmlns:a16="http://schemas.microsoft.com/office/drawing/2014/main" id="{8CF595C5-0EFC-4DC3-BF8A-D46F414F2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334663</xdr:colOff>
      <xdr:row>7</xdr:row>
      <xdr:rowOff>179860</xdr:rowOff>
    </xdr:from>
    <xdr:to>
      <xdr:col>10</xdr:col>
      <xdr:colOff>592096</xdr:colOff>
      <xdr:row>19</xdr:row>
      <xdr:rowOff>15102</xdr:rowOff>
    </xdr:to>
    <xdr:pic>
      <xdr:nvPicPr>
        <xdr:cNvPr id="37" name="Graphic 36" descr="Bar graph with downward trend with solid fill">
          <a:extLst>
            <a:ext uri="{FF2B5EF4-FFF2-40B4-BE49-F238E27FC236}">
              <a16:creationId xmlns:a16="http://schemas.microsoft.com/office/drawing/2014/main" id="{C8D54A55-CF1B-E15A-379C-3B68D532EBD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54163" y="1513360"/>
          <a:ext cx="2670433" cy="2121242"/>
        </a:xfrm>
        <a:prstGeom prst="rect">
          <a:avLst/>
        </a:prstGeom>
      </xdr:spPr>
    </xdr:pic>
    <xdr:clientData/>
  </xdr:twoCellAnchor>
  <xdr:twoCellAnchor>
    <xdr:from>
      <xdr:col>12</xdr:col>
      <xdr:colOff>95250</xdr:colOff>
      <xdr:row>12</xdr:row>
      <xdr:rowOff>63500</xdr:rowOff>
    </xdr:from>
    <xdr:to>
      <xdr:col>21</xdr:col>
      <xdr:colOff>0</xdr:colOff>
      <xdr:row>12</xdr:row>
      <xdr:rowOff>95250</xdr:rowOff>
    </xdr:to>
    <xdr:cxnSp macro="">
      <xdr:nvCxnSpPr>
        <xdr:cNvPr id="44" name="Straight Connector 43">
          <a:extLst>
            <a:ext uri="{FF2B5EF4-FFF2-40B4-BE49-F238E27FC236}">
              <a16:creationId xmlns:a16="http://schemas.microsoft.com/office/drawing/2014/main" id="{BA794FBE-7E0A-D7FE-0F76-0BD6E4F812EC}"/>
            </a:ext>
          </a:extLst>
        </xdr:cNvPr>
        <xdr:cNvCxnSpPr/>
      </xdr:nvCxnSpPr>
      <xdr:spPr>
        <a:xfrm flipV="1">
          <a:off x="7334250" y="2349500"/>
          <a:ext cx="5334000" cy="3175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95250</xdr:colOff>
      <xdr:row>8</xdr:row>
      <xdr:rowOff>95250</xdr:rowOff>
    </xdr:from>
    <xdr:to>
      <xdr:col>21</xdr:col>
      <xdr:colOff>349250</xdr:colOff>
      <xdr:row>12</xdr:row>
      <xdr:rowOff>0</xdr:rowOff>
    </xdr:to>
    <xdr:sp macro="" textlink="">
      <xdr:nvSpPr>
        <xdr:cNvPr id="46" name="Rectangle 45">
          <a:extLst>
            <a:ext uri="{FF2B5EF4-FFF2-40B4-BE49-F238E27FC236}">
              <a16:creationId xmlns:a16="http://schemas.microsoft.com/office/drawing/2014/main" id="{0CB88996-0B0E-BA51-3764-26DD5CEFD3AC}"/>
            </a:ext>
          </a:extLst>
        </xdr:cNvPr>
        <xdr:cNvSpPr/>
      </xdr:nvSpPr>
      <xdr:spPr>
        <a:xfrm>
          <a:off x="7334250" y="1619250"/>
          <a:ext cx="5683250" cy="666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Year-Wise</a:t>
          </a:r>
          <a:r>
            <a:rPr lang="en-IN" sz="4400" b="0" cap="none" spc="0" baseline="0">
              <a:ln w="0"/>
              <a:solidFill>
                <a:schemeClr val="tx1"/>
              </a:solidFill>
              <a:effectLst>
                <a:outerShdw blurRad="38100" dist="19050" dir="2700000" algn="tl" rotWithShape="0">
                  <a:schemeClr val="dk1">
                    <a:alpha val="40000"/>
                  </a:schemeClr>
                </a:outerShdw>
              </a:effectLst>
            </a:rPr>
            <a:t> Job Loss</a:t>
          </a:r>
          <a:endParaRPr lang="en-IN" sz="4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22</xdr:col>
      <xdr:colOff>476250</xdr:colOff>
      <xdr:row>7</xdr:row>
      <xdr:rowOff>145297</xdr:rowOff>
    </xdr:from>
    <xdr:to>
      <xdr:col>37</xdr:col>
      <xdr:colOff>129153</xdr:colOff>
      <xdr:row>17</xdr:row>
      <xdr:rowOff>192116</xdr:rowOff>
    </xdr:to>
    <xdr:sp macro="" textlink="'Recession Jobs Data'!F204">
      <xdr:nvSpPr>
        <xdr:cNvPr id="55" name="Rectangle: Rounded Corners 54">
          <a:extLst>
            <a:ext uri="{FF2B5EF4-FFF2-40B4-BE49-F238E27FC236}">
              <a16:creationId xmlns:a16="http://schemas.microsoft.com/office/drawing/2014/main" id="{BCDA9988-DF3C-242D-CFF5-2DC3AAE96FF3}"/>
            </a:ext>
          </a:extLst>
        </xdr:cNvPr>
        <xdr:cNvSpPr/>
      </xdr:nvSpPr>
      <xdr:spPr>
        <a:xfrm>
          <a:off x="13972691" y="1501399"/>
          <a:ext cx="8855021" cy="19841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5400" b="0" i="0" u="none" strike="noStrike">
              <a:solidFill>
                <a:srgbClr val="00B050"/>
              </a:solidFill>
              <a:latin typeface="Calibri"/>
              <a:ea typeface="Calibri"/>
              <a:cs typeface="Calibri"/>
            </a:rPr>
            <a:t>4%</a:t>
          </a:r>
          <a:fld id="{67E9F827-9A5D-41D8-9145-FA153F41226C}" type="TxLink">
            <a:rPr lang="en-US" sz="5400" b="0" i="0" u="none" strike="noStrike">
              <a:solidFill>
                <a:srgbClr val="00B050"/>
              </a:solidFill>
              <a:latin typeface="Calibri"/>
              <a:ea typeface="Calibri"/>
              <a:cs typeface="Calibri"/>
            </a:rPr>
            <a:pPr algn="ctr"/>
            <a:t> </a:t>
          </a:fld>
          <a:endParaRPr lang="en-IN" sz="5400">
            <a:solidFill>
              <a:srgbClr val="00B050"/>
            </a:solidFill>
          </a:endParaRPr>
        </a:p>
      </xdr:txBody>
    </xdr:sp>
    <xdr:clientData/>
  </xdr:twoCellAnchor>
  <xdr:twoCellAnchor editAs="oneCell">
    <xdr:from>
      <xdr:col>23</xdr:col>
      <xdr:colOff>412750</xdr:colOff>
      <xdr:row>8</xdr:row>
      <xdr:rowOff>95250</xdr:rowOff>
    </xdr:from>
    <xdr:to>
      <xdr:col>27</xdr:col>
      <xdr:colOff>317500</xdr:colOff>
      <xdr:row>17</xdr:row>
      <xdr:rowOff>57150</xdr:rowOff>
    </xdr:to>
    <xdr:pic>
      <xdr:nvPicPr>
        <xdr:cNvPr id="53" name="Graphic 52" descr="Bar graph with upward trend with solid fill">
          <a:extLst>
            <a:ext uri="{FF2B5EF4-FFF2-40B4-BE49-F238E27FC236}">
              <a16:creationId xmlns:a16="http://schemas.microsoft.com/office/drawing/2014/main" id="{14F12376-BF0E-00D2-938B-6D593F4321B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287500" y="1619250"/>
          <a:ext cx="2317750" cy="1676400"/>
        </a:xfrm>
        <a:prstGeom prst="rect">
          <a:avLst/>
        </a:prstGeom>
      </xdr:spPr>
    </xdr:pic>
    <xdr:clientData/>
  </xdr:twoCellAnchor>
  <xdr:twoCellAnchor>
    <xdr:from>
      <xdr:col>27</xdr:col>
      <xdr:colOff>452033</xdr:colOff>
      <xdr:row>11</xdr:row>
      <xdr:rowOff>119678</xdr:rowOff>
    </xdr:from>
    <xdr:to>
      <xdr:col>33</xdr:col>
      <xdr:colOff>500465</xdr:colOff>
      <xdr:row>11</xdr:row>
      <xdr:rowOff>151966</xdr:rowOff>
    </xdr:to>
    <xdr:cxnSp macro="">
      <xdr:nvCxnSpPr>
        <xdr:cNvPr id="57" name="Straight Connector 56">
          <a:extLst>
            <a:ext uri="{FF2B5EF4-FFF2-40B4-BE49-F238E27FC236}">
              <a16:creationId xmlns:a16="http://schemas.microsoft.com/office/drawing/2014/main" id="{2827E264-FCF6-A4AA-0E8B-097F91DA05EF}"/>
            </a:ext>
          </a:extLst>
        </xdr:cNvPr>
        <xdr:cNvCxnSpPr/>
      </xdr:nvCxnSpPr>
      <xdr:spPr>
        <a:xfrm flipV="1">
          <a:off x="16665240" y="2169624"/>
          <a:ext cx="3651366" cy="3228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387457</xdr:colOff>
      <xdr:row>8</xdr:row>
      <xdr:rowOff>64576</xdr:rowOff>
    </xdr:from>
    <xdr:to>
      <xdr:col>33</xdr:col>
      <xdr:colOff>355170</xdr:colOff>
      <xdr:row>10</xdr:row>
      <xdr:rowOff>161441</xdr:rowOff>
    </xdr:to>
    <xdr:sp macro="" textlink="">
      <xdr:nvSpPr>
        <xdr:cNvPr id="58" name="Rectangle 57">
          <a:extLst>
            <a:ext uri="{FF2B5EF4-FFF2-40B4-BE49-F238E27FC236}">
              <a16:creationId xmlns:a16="http://schemas.microsoft.com/office/drawing/2014/main" id="{74B154A6-AA08-AA09-1F48-85CFA59A8E7C}"/>
            </a:ext>
          </a:extLst>
        </xdr:cNvPr>
        <xdr:cNvSpPr/>
      </xdr:nvSpPr>
      <xdr:spPr>
        <a:xfrm>
          <a:off x="16951271" y="1614407"/>
          <a:ext cx="3648560" cy="48432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0" cap="none" spc="0">
              <a:ln w="0"/>
              <a:solidFill>
                <a:schemeClr val="tx1"/>
              </a:solidFill>
              <a:effectLst>
                <a:outerShdw blurRad="38100" dist="19050" dir="2700000" algn="tl" rotWithShape="0">
                  <a:schemeClr val="dk1">
                    <a:alpha val="40000"/>
                  </a:schemeClr>
                </a:outerShdw>
              </a:effectLst>
            </a:rPr>
            <a:t>Hiring Trend</a:t>
          </a:r>
        </a:p>
      </xdr:txBody>
    </xdr:sp>
    <xdr:clientData/>
  </xdr:twoCellAnchor>
  <xdr:twoCellAnchor editAs="oneCell">
    <xdr:from>
      <xdr:col>0</xdr:col>
      <xdr:colOff>0</xdr:colOff>
      <xdr:row>4</xdr:row>
      <xdr:rowOff>82827</xdr:rowOff>
    </xdr:from>
    <xdr:to>
      <xdr:col>4</xdr:col>
      <xdr:colOff>476249</xdr:colOff>
      <xdr:row>19</xdr:row>
      <xdr:rowOff>165653</xdr:rowOff>
    </xdr:to>
    <xdr:pic>
      <xdr:nvPicPr>
        <xdr:cNvPr id="9" name="Picture 8">
          <a:extLst>
            <a:ext uri="{FF2B5EF4-FFF2-40B4-BE49-F238E27FC236}">
              <a16:creationId xmlns:a16="http://schemas.microsoft.com/office/drawing/2014/main" id="{681C6DD4-4D62-4AB9-A101-4599E0328D1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828262"/>
          <a:ext cx="2878206" cy="28782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0</xdr:colOff>
      <xdr:row>65</xdr:row>
      <xdr:rowOff>30831</xdr:rowOff>
    </xdr:to>
    <xdr:sp macro="" textlink="">
      <xdr:nvSpPr>
        <xdr:cNvPr id="2" name="Rectangle 1">
          <a:extLst>
            <a:ext uri="{FF2B5EF4-FFF2-40B4-BE49-F238E27FC236}">
              <a16:creationId xmlns:a16="http://schemas.microsoft.com/office/drawing/2014/main" id="{6EB5D32E-45DF-4D74-9B24-4807BC0C8057}"/>
            </a:ext>
          </a:extLst>
        </xdr:cNvPr>
        <xdr:cNvSpPr/>
      </xdr:nvSpPr>
      <xdr:spPr>
        <a:xfrm>
          <a:off x="0" y="0"/>
          <a:ext cx="23774400" cy="12413331"/>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twoCellAnchor>
    <xdr:from>
      <xdr:col>0</xdr:col>
      <xdr:colOff>19049</xdr:colOff>
      <xdr:row>0</xdr:row>
      <xdr:rowOff>0</xdr:rowOff>
    </xdr:from>
    <xdr:to>
      <xdr:col>39</xdr:col>
      <xdr:colOff>0</xdr:colOff>
      <xdr:row>5</xdr:row>
      <xdr:rowOff>0</xdr:rowOff>
    </xdr:to>
    <xdr:sp macro="" textlink="">
      <xdr:nvSpPr>
        <xdr:cNvPr id="3" name="Rectangle 2">
          <a:extLst>
            <a:ext uri="{FF2B5EF4-FFF2-40B4-BE49-F238E27FC236}">
              <a16:creationId xmlns:a16="http://schemas.microsoft.com/office/drawing/2014/main" id="{45D452E8-C502-49A8-A28D-3B455EF9AD4D}"/>
            </a:ext>
          </a:extLst>
        </xdr:cNvPr>
        <xdr:cNvSpPr/>
      </xdr:nvSpPr>
      <xdr:spPr>
        <a:xfrm>
          <a:off x="19049" y="0"/>
          <a:ext cx="23755351" cy="952500"/>
        </a:xfrm>
        <a:prstGeom prst="rect">
          <a:avLst/>
        </a:prstGeom>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a:t>Recession</a:t>
          </a:r>
          <a:r>
            <a:rPr lang="en-IN" sz="6000" baseline="0"/>
            <a:t> Workforce Overview</a:t>
          </a:r>
          <a:endParaRPr lang="en-IN" sz="6000"/>
        </a:p>
      </xdr:txBody>
    </xdr:sp>
    <xdr:clientData/>
  </xdr:twoCellAnchor>
  <xdr:twoCellAnchor>
    <xdr:from>
      <xdr:col>5</xdr:col>
      <xdr:colOff>119063</xdr:colOff>
      <xdr:row>4</xdr:row>
      <xdr:rowOff>178594</xdr:rowOff>
    </xdr:from>
    <xdr:to>
      <xdr:col>5</xdr:col>
      <xdr:colOff>178594</xdr:colOff>
      <xdr:row>65</xdr:row>
      <xdr:rowOff>59531</xdr:rowOff>
    </xdr:to>
    <xdr:cxnSp macro="">
      <xdr:nvCxnSpPr>
        <xdr:cNvPr id="4" name="Straight Connector 3">
          <a:extLst>
            <a:ext uri="{FF2B5EF4-FFF2-40B4-BE49-F238E27FC236}">
              <a16:creationId xmlns:a16="http://schemas.microsoft.com/office/drawing/2014/main" id="{1905466A-9031-45BF-AA65-850CC71FD6E5}"/>
            </a:ext>
          </a:extLst>
        </xdr:cNvPr>
        <xdr:cNvCxnSpPr/>
      </xdr:nvCxnSpPr>
      <xdr:spPr>
        <a:xfrm flipH="1">
          <a:off x="3194844" y="972344"/>
          <a:ext cx="59531" cy="11985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138305</xdr:colOff>
      <xdr:row>25</xdr:row>
      <xdr:rowOff>93464</xdr:rowOff>
    </xdr:from>
    <xdr:to>
      <xdr:col>4</xdr:col>
      <xdr:colOff>470236</xdr:colOff>
      <xdr:row>30</xdr:row>
      <xdr:rowOff>12366</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6EE83511-988B-4436-8BAD-1907E6412545}"/>
            </a:ext>
          </a:extLst>
        </xdr:cNvPr>
        <xdr:cNvSpPr/>
      </xdr:nvSpPr>
      <xdr:spPr>
        <a:xfrm>
          <a:off x="138305" y="4855964"/>
          <a:ext cx="2770331" cy="871402"/>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Industry</a:t>
          </a:r>
        </a:p>
      </xdr:txBody>
    </xdr:sp>
    <xdr:clientData/>
  </xdr:twoCellAnchor>
  <xdr:twoCellAnchor>
    <xdr:from>
      <xdr:col>0</xdr:col>
      <xdr:colOff>102420</xdr:colOff>
      <xdr:row>31</xdr:row>
      <xdr:rowOff>141805</xdr:rowOff>
    </xdr:from>
    <xdr:to>
      <xdr:col>4</xdr:col>
      <xdr:colOff>434351</xdr:colOff>
      <xdr:row>36</xdr:row>
      <xdr:rowOff>69995</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AC787E0E-9933-46E1-8FBB-219CD519BFF0}"/>
            </a:ext>
          </a:extLst>
        </xdr:cNvPr>
        <xdr:cNvSpPr/>
      </xdr:nvSpPr>
      <xdr:spPr>
        <a:xfrm>
          <a:off x="102420" y="6047305"/>
          <a:ext cx="2770331" cy="880690"/>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Trends</a:t>
          </a:r>
          <a:endParaRPr lang="en-IN" sz="4400" b="1" cap="none" spc="0">
            <a:ln w="0">
              <a:solidFill>
                <a:sysClr val="windowText" lastClr="000000"/>
              </a:solid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97337</xdr:colOff>
      <xdr:row>38</xdr:row>
      <xdr:rowOff>75525</xdr:rowOff>
    </xdr:from>
    <xdr:to>
      <xdr:col>4</xdr:col>
      <xdr:colOff>429268</xdr:colOff>
      <xdr:row>42</xdr:row>
      <xdr:rowOff>179636</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0B0D42A3-66C8-4CA0-AD28-BBC5393E6ABF}"/>
            </a:ext>
          </a:extLst>
        </xdr:cNvPr>
        <xdr:cNvSpPr/>
      </xdr:nvSpPr>
      <xdr:spPr>
        <a:xfrm>
          <a:off x="97337" y="7314525"/>
          <a:ext cx="2770331" cy="86611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outerShdw blurRad="38100" dist="19050" dir="2700000" algn="tl" rotWithShape="0">
                  <a:schemeClr val="dk1">
                    <a:alpha val="40000"/>
                  </a:schemeClr>
                </a:outerShdw>
              </a:effectLst>
            </a:rPr>
            <a:t>WorkForce</a:t>
          </a:r>
          <a:endParaRPr lang="en-IN" sz="4000" b="1">
            <a:ln>
              <a:solidFill>
                <a:sysClr val="windowText" lastClr="000000"/>
              </a:solidFill>
            </a:ln>
            <a:solidFill>
              <a:schemeClr val="tx1"/>
            </a:solidFill>
          </a:endParaRPr>
        </a:p>
      </xdr:txBody>
    </xdr:sp>
    <xdr:clientData/>
  </xdr:twoCellAnchor>
  <xdr:twoCellAnchor>
    <xdr:from>
      <xdr:col>0</xdr:col>
      <xdr:colOff>92178</xdr:colOff>
      <xdr:row>45</xdr:row>
      <xdr:rowOff>34714</xdr:rowOff>
    </xdr:from>
    <xdr:to>
      <xdr:col>4</xdr:col>
      <xdr:colOff>424109</xdr:colOff>
      <xdr:row>49</xdr:row>
      <xdr:rowOff>115602</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F6FAC8B3-B089-47BE-AA57-470211525040}"/>
            </a:ext>
          </a:extLst>
        </xdr:cNvPr>
        <xdr:cNvSpPr/>
      </xdr:nvSpPr>
      <xdr:spPr>
        <a:xfrm>
          <a:off x="92178" y="8607214"/>
          <a:ext cx="2770331" cy="842888"/>
        </a:xfrm>
        <a:prstGeom prst="roundRect">
          <a:avLst/>
        </a:prstGeom>
        <a:solidFill>
          <a:srgbClr val="CBE2E7"/>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About</a:t>
          </a:r>
        </a:p>
      </xdr:txBody>
    </xdr:sp>
    <xdr:clientData/>
  </xdr:twoCellAnchor>
  <xdr:twoCellAnchor>
    <xdr:from>
      <xdr:col>0</xdr:col>
      <xdr:colOff>111847</xdr:colOff>
      <xdr:row>18</xdr:row>
      <xdr:rowOff>172839</xdr:rowOff>
    </xdr:from>
    <xdr:to>
      <xdr:col>4</xdr:col>
      <xdr:colOff>443778</xdr:colOff>
      <xdr:row>23</xdr:row>
      <xdr:rowOff>91741</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1E265161-5F0C-409F-BF51-6B71993BF5D6}"/>
            </a:ext>
          </a:extLst>
        </xdr:cNvPr>
        <xdr:cNvSpPr/>
      </xdr:nvSpPr>
      <xdr:spPr>
        <a:xfrm>
          <a:off x="111847" y="3601839"/>
          <a:ext cx="2770331" cy="871402"/>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6</xdr:col>
      <xdr:colOff>454424</xdr:colOff>
      <xdr:row>8</xdr:row>
      <xdr:rowOff>40853</xdr:rowOff>
    </xdr:from>
    <xdr:to>
      <xdr:col>36</xdr:col>
      <xdr:colOff>351451</xdr:colOff>
      <xdr:row>18</xdr:row>
      <xdr:rowOff>15109</xdr:rowOff>
    </xdr:to>
    <xdr:grpSp>
      <xdr:nvGrpSpPr>
        <xdr:cNvPr id="22" name="Group 21">
          <a:extLst>
            <a:ext uri="{FF2B5EF4-FFF2-40B4-BE49-F238E27FC236}">
              <a16:creationId xmlns:a16="http://schemas.microsoft.com/office/drawing/2014/main" id="{9D6CA46A-A285-43CE-E678-224A57DCA50B}"/>
            </a:ext>
          </a:extLst>
        </xdr:cNvPr>
        <xdr:cNvGrpSpPr/>
      </xdr:nvGrpSpPr>
      <xdr:grpSpPr>
        <a:xfrm>
          <a:off x="4057359" y="1531723"/>
          <a:ext cx="17911701" cy="1837843"/>
          <a:chOff x="3912973" y="1544595"/>
          <a:chExt cx="18432162" cy="1776283"/>
        </a:xfrm>
      </xdr:grpSpPr>
      <xdr:sp macro="" textlink="pivot_tabels!B2">
        <xdr:nvSpPr>
          <xdr:cNvPr id="19" name="Rectangle: Rounded Corners 18">
            <a:extLst>
              <a:ext uri="{FF2B5EF4-FFF2-40B4-BE49-F238E27FC236}">
                <a16:creationId xmlns:a16="http://schemas.microsoft.com/office/drawing/2014/main" id="{5A3A8A29-9F1D-79BF-0BA2-1DFBA257C65F}"/>
              </a:ext>
            </a:extLst>
          </xdr:cNvPr>
          <xdr:cNvSpPr/>
        </xdr:nvSpPr>
        <xdr:spPr>
          <a:xfrm>
            <a:off x="3912973" y="1596081"/>
            <a:ext cx="5174392" cy="1724797"/>
          </a:xfrm>
          <a:prstGeom prst="round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50E9FDD-5813-44B9-93AC-40792E6FBBE8}" type="TxLink">
              <a:rPr lang="en-US" sz="4400" b="0" i="0" u="none" strike="noStrike">
                <a:solidFill>
                  <a:srgbClr val="000000"/>
                </a:solidFill>
                <a:latin typeface="Calibri"/>
                <a:ea typeface="Calibri"/>
                <a:cs typeface="Calibri"/>
              </a:rPr>
              <a:pPr algn="ctr"/>
              <a:t>28,435</a:t>
            </a:fld>
            <a:endParaRPr lang="en-US" sz="28700">
              <a:solidFill>
                <a:srgbClr val="FF0000"/>
              </a:solidFill>
            </a:endParaRPr>
          </a:p>
        </xdr:txBody>
      </xdr:sp>
      <xdr:sp macro="" textlink="pivot_tabels!B21">
        <xdr:nvSpPr>
          <xdr:cNvPr id="20" name="Rectangle: Rounded Corners 19">
            <a:extLst>
              <a:ext uri="{FF2B5EF4-FFF2-40B4-BE49-F238E27FC236}">
                <a16:creationId xmlns:a16="http://schemas.microsoft.com/office/drawing/2014/main" id="{7DE0839D-7A90-3805-3935-7A044C9B65C3}"/>
              </a:ext>
            </a:extLst>
          </xdr:cNvPr>
          <xdr:cNvSpPr/>
        </xdr:nvSpPr>
        <xdr:spPr>
          <a:xfrm>
            <a:off x="10786419" y="1596081"/>
            <a:ext cx="5174392" cy="1724797"/>
          </a:xfrm>
          <a:prstGeom prst="round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196525A-EB18-4581-B434-7968A42EC9E5}" type="TxLink">
              <a:rPr lang="en-US" sz="6000" b="0" i="0" u="none" strike="noStrike">
                <a:solidFill>
                  <a:srgbClr val="000000"/>
                </a:solidFill>
                <a:latin typeface="Calibri"/>
                <a:ea typeface="Calibri"/>
                <a:cs typeface="Calibri"/>
              </a:rPr>
              <a:pPr algn="ctr"/>
              <a:t>7.9</a:t>
            </a:fld>
            <a:r>
              <a:rPr lang="en-US" sz="6000" b="0" i="0" u="none" strike="noStrike">
                <a:solidFill>
                  <a:srgbClr val="000000"/>
                </a:solidFill>
                <a:latin typeface="Calibri"/>
                <a:ea typeface="Calibri"/>
                <a:cs typeface="Calibri"/>
              </a:rPr>
              <a:t>%</a:t>
            </a:r>
            <a:endParaRPr lang="en-IN" sz="6000"/>
          </a:p>
        </xdr:txBody>
      </xdr:sp>
      <xdr:sp macro="" textlink="pivot_tabels!B6">
        <xdr:nvSpPr>
          <xdr:cNvPr id="21" name="Rectangle: Rounded Corners 20">
            <a:extLst>
              <a:ext uri="{FF2B5EF4-FFF2-40B4-BE49-F238E27FC236}">
                <a16:creationId xmlns:a16="http://schemas.microsoft.com/office/drawing/2014/main" id="{8858700A-4764-5D6B-B428-8CD3B7062C6A}"/>
              </a:ext>
            </a:extLst>
          </xdr:cNvPr>
          <xdr:cNvSpPr/>
        </xdr:nvSpPr>
        <xdr:spPr>
          <a:xfrm>
            <a:off x="17170743" y="1544595"/>
            <a:ext cx="5174392" cy="1724797"/>
          </a:xfrm>
          <a:prstGeom prst="round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60F47C3-4EDE-4570-A190-698C43A87D3D}" type="TxLink">
              <a:rPr lang="en-US" sz="5400" b="0" i="0" u="none" strike="noStrike">
                <a:solidFill>
                  <a:srgbClr val="FF0000"/>
                </a:solidFill>
                <a:latin typeface="Calibri"/>
                <a:ea typeface="Calibri"/>
                <a:cs typeface="Calibri"/>
              </a:rPr>
              <a:pPr algn="ctr"/>
              <a:t>-9.61%</a:t>
            </a:fld>
            <a:endParaRPr lang="en-IN" sz="5400">
              <a:solidFill>
                <a:srgbClr val="FF0000"/>
              </a:solidFill>
            </a:endParaRPr>
          </a:p>
        </xdr:txBody>
      </xdr:sp>
    </xdr:grpSp>
    <xdr:clientData/>
  </xdr:twoCellAnchor>
  <xdr:twoCellAnchor editAs="oneCell">
    <xdr:from>
      <xdr:col>6</xdr:col>
      <xdr:colOff>566350</xdr:colOff>
      <xdr:row>10</xdr:row>
      <xdr:rowOff>0</xdr:rowOff>
    </xdr:from>
    <xdr:to>
      <xdr:col>8</xdr:col>
      <xdr:colOff>592093</xdr:colOff>
      <xdr:row>17</xdr:row>
      <xdr:rowOff>0</xdr:rowOff>
    </xdr:to>
    <xdr:pic>
      <xdr:nvPicPr>
        <xdr:cNvPr id="24" name="Graphic 23" descr="User with solid fill">
          <a:extLst>
            <a:ext uri="{FF2B5EF4-FFF2-40B4-BE49-F238E27FC236}">
              <a16:creationId xmlns:a16="http://schemas.microsoft.com/office/drawing/2014/main" id="{A9E82EB1-524E-CB74-63B2-B6F01A9B3B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73377" y="1802027"/>
          <a:ext cx="1261419" cy="1261419"/>
        </a:xfrm>
        <a:prstGeom prst="rect">
          <a:avLst/>
        </a:prstGeom>
      </xdr:spPr>
    </xdr:pic>
    <xdr:clientData/>
  </xdr:twoCellAnchor>
  <xdr:twoCellAnchor editAs="oneCell">
    <xdr:from>
      <xdr:col>18</xdr:col>
      <xdr:colOff>145270</xdr:colOff>
      <xdr:row>10</xdr:row>
      <xdr:rowOff>42297</xdr:rowOff>
    </xdr:from>
    <xdr:to>
      <xdr:col>20</xdr:col>
      <xdr:colOff>128716</xdr:colOff>
      <xdr:row>16</xdr:row>
      <xdr:rowOff>51487</xdr:rowOff>
    </xdr:to>
    <xdr:pic>
      <xdr:nvPicPr>
        <xdr:cNvPr id="26" name="Graphic 25" descr="Warning with solid fill">
          <a:extLst>
            <a:ext uri="{FF2B5EF4-FFF2-40B4-BE49-F238E27FC236}">
              <a16:creationId xmlns:a16="http://schemas.microsoft.com/office/drawing/2014/main" id="{B3D68653-B01F-126E-D344-572E5164AD6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266351" y="1844324"/>
          <a:ext cx="1219122" cy="1090406"/>
        </a:xfrm>
        <a:prstGeom prst="rect">
          <a:avLst/>
        </a:prstGeom>
      </xdr:spPr>
    </xdr:pic>
    <xdr:clientData/>
  </xdr:twoCellAnchor>
  <xdr:twoCellAnchor editAs="oneCell">
    <xdr:from>
      <xdr:col>28</xdr:col>
      <xdr:colOff>436562</xdr:colOff>
      <xdr:row>10</xdr:row>
      <xdr:rowOff>0</xdr:rowOff>
    </xdr:from>
    <xdr:to>
      <xdr:col>30</xdr:col>
      <xdr:colOff>416718</xdr:colOff>
      <xdr:row>16</xdr:row>
      <xdr:rowOff>47323</xdr:rowOff>
    </xdr:to>
    <xdr:pic>
      <xdr:nvPicPr>
        <xdr:cNvPr id="28" name="Graphic 27" descr="Downward trend graph with solid fill">
          <a:extLst>
            <a:ext uri="{FF2B5EF4-FFF2-40B4-BE49-F238E27FC236}">
              <a16:creationId xmlns:a16="http://schemas.microsoft.com/office/drawing/2014/main" id="{BADB3258-F5A5-F852-B7D0-0F320F50FDD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660937" y="1984375"/>
          <a:ext cx="1210469" cy="1237948"/>
        </a:xfrm>
        <a:prstGeom prst="rect">
          <a:avLst/>
        </a:prstGeom>
      </xdr:spPr>
    </xdr:pic>
    <xdr:clientData/>
  </xdr:twoCellAnchor>
  <xdr:twoCellAnchor>
    <xdr:from>
      <xdr:col>8</xdr:col>
      <xdr:colOff>531061</xdr:colOff>
      <xdr:row>13</xdr:row>
      <xdr:rowOff>90135</xdr:rowOff>
    </xdr:from>
    <xdr:to>
      <xdr:col>13</xdr:col>
      <xdr:colOff>278929</xdr:colOff>
      <xdr:row>15</xdr:row>
      <xdr:rowOff>146165</xdr:rowOff>
    </xdr:to>
    <xdr:sp macro="" textlink="">
      <xdr:nvSpPr>
        <xdr:cNvPr id="29" name="Rectangle 28">
          <a:extLst>
            <a:ext uri="{FF2B5EF4-FFF2-40B4-BE49-F238E27FC236}">
              <a16:creationId xmlns:a16="http://schemas.microsoft.com/office/drawing/2014/main" id="{039A4F1C-C4B7-BF01-4CB5-031CC7BD5F92}"/>
            </a:ext>
          </a:extLst>
        </xdr:cNvPr>
        <xdr:cNvSpPr/>
      </xdr:nvSpPr>
      <xdr:spPr>
        <a:xfrm>
          <a:off x="5334974" y="2512798"/>
          <a:ext cx="2750314" cy="42874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b="1"/>
            <a:t>Total Job Loss</a:t>
          </a:r>
        </a:p>
      </xdr:txBody>
    </xdr:sp>
    <xdr:clientData/>
  </xdr:twoCellAnchor>
  <xdr:twoCellAnchor>
    <xdr:from>
      <xdr:col>20</xdr:col>
      <xdr:colOff>95250</xdr:colOff>
      <xdr:row>13</xdr:row>
      <xdr:rowOff>95250</xdr:rowOff>
    </xdr:from>
    <xdr:to>
      <xdr:col>24</xdr:col>
      <xdr:colOff>381000</xdr:colOff>
      <xdr:row>18</xdr:row>
      <xdr:rowOff>0</xdr:rowOff>
    </xdr:to>
    <xdr:sp macro="" textlink="">
      <xdr:nvSpPr>
        <xdr:cNvPr id="30" name="Rectangle 29">
          <a:extLst>
            <a:ext uri="{FF2B5EF4-FFF2-40B4-BE49-F238E27FC236}">
              <a16:creationId xmlns:a16="http://schemas.microsoft.com/office/drawing/2014/main" id="{9E5BD444-AF73-C409-59F9-32BBCABF8DD4}"/>
            </a:ext>
          </a:extLst>
        </xdr:cNvPr>
        <xdr:cNvSpPr/>
      </xdr:nvSpPr>
      <xdr:spPr>
        <a:xfrm>
          <a:off x="12477750" y="2571750"/>
          <a:ext cx="2762250" cy="85725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a:t>Unemployment Rate</a:t>
          </a:r>
        </a:p>
      </xdr:txBody>
    </xdr:sp>
    <xdr:clientData/>
  </xdr:twoCellAnchor>
  <xdr:twoCellAnchor>
    <xdr:from>
      <xdr:col>30</xdr:col>
      <xdr:colOff>428625</xdr:colOff>
      <xdr:row>13</xdr:row>
      <xdr:rowOff>0</xdr:rowOff>
    </xdr:from>
    <xdr:to>
      <xdr:col>35</xdr:col>
      <xdr:colOff>95250</xdr:colOff>
      <xdr:row>15</xdr:row>
      <xdr:rowOff>142875</xdr:rowOff>
    </xdr:to>
    <xdr:sp macro="" textlink="">
      <xdr:nvSpPr>
        <xdr:cNvPr id="31" name="Rectangle 30">
          <a:extLst>
            <a:ext uri="{FF2B5EF4-FFF2-40B4-BE49-F238E27FC236}">
              <a16:creationId xmlns:a16="http://schemas.microsoft.com/office/drawing/2014/main" id="{5AED5116-8EB3-DC14-6B00-01AB31870107}"/>
            </a:ext>
          </a:extLst>
        </xdr:cNvPr>
        <xdr:cNvSpPr/>
      </xdr:nvSpPr>
      <xdr:spPr>
        <a:xfrm>
          <a:off x="19002375" y="2476500"/>
          <a:ext cx="2762250" cy="5238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0" cap="none" spc="0">
              <a:ln w="0"/>
              <a:solidFill>
                <a:schemeClr val="tx1"/>
              </a:solidFill>
              <a:effectLst>
                <a:outerShdw blurRad="38100" dist="19050" dir="2700000" algn="tl" rotWithShape="0">
                  <a:schemeClr val="dk1">
                    <a:alpha val="40000"/>
                  </a:schemeClr>
                </a:outerShdw>
              </a:effectLst>
            </a:rPr>
            <a:t>Salary Change %</a:t>
          </a:r>
        </a:p>
      </xdr:txBody>
    </xdr:sp>
    <xdr:clientData/>
  </xdr:twoCellAnchor>
  <xdr:twoCellAnchor>
    <xdr:from>
      <xdr:col>5</xdr:col>
      <xdr:colOff>476250</xdr:colOff>
      <xdr:row>21</xdr:row>
      <xdr:rowOff>166687</xdr:rowOff>
    </xdr:from>
    <xdr:to>
      <xdr:col>21</xdr:col>
      <xdr:colOff>285750</xdr:colOff>
      <xdr:row>55</xdr:row>
      <xdr:rowOff>95250</xdr:rowOff>
    </xdr:to>
    <xdr:sp macro="" textlink="">
      <xdr:nvSpPr>
        <xdr:cNvPr id="32" name="Rectangle: Rounded Corners 31">
          <a:extLst>
            <a:ext uri="{FF2B5EF4-FFF2-40B4-BE49-F238E27FC236}">
              <a16:creationId xmlns:a16="http://schemas.microsoft.com/office/drawing/2014/main" id="{B2BE19EE-A45E-69BA-F8D9-933DEB705571}"/>
            </a:ext>
          </a:extLst>
        </xdr:cNvPr>
        <xdr:cNvSpPr/>
      </xdr:nvSpPr>
      <xdr:spPr>
        <a:xfrm>
          <a:off x="3571875" y="4167187"/>
          <a:ext cx="9715500" cy="6405563"/>
        </a:xfrm>
        <a:prstGeom prst="roundRect">
          <a:avLst>
            <a:gd name="adj" fmla="val 8117"/>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0" cap="none" spc="0">
              <a:ln w="0"/>
              <a:solidFill>
                <a:schemeClr val="tx1"/>
              </a:solidFill>
              <a:effectLst>
                <a:outerShdw blurRad="38100" dist="19050" dir="2700000" algn="tl" rotWithShape="0">
                  <a:schemeClr val="dk1">
                    <a:alpha val="40000"/>
                  </a:schemeClr>
                </a:outerShdw>
              </a:effectLst>
            </a:rPr>
            <a:t>Before vs After Workforce Breakdown</a:t>
          </a:r>
        </a:p>
      </xdr:txBody>
    </xdr:sp>
    <xdr:clientData/>
  </xdr:twoCellAnchor>
  <xdr:twoCellAnchor>
    <xdr:from>
      <xdr:col>22</xdr:col>
      <xdr:colOff>404813</xdr:colOff>
      <xdr:row>22</xdr:row>
      <xdr:rowOff>23812</xdr:rowOff>
    </xdr:from>
    <xdr:to>
      <xdr:col>38</xdr:col>
      <xdr:colOff>214313</xdr:colOff>
      <xdr:row>55</xdr:row>
      <xdr:rowOff>142875</xdr:rowOff>
    </xdr:to>
    <xdr:sp macro="" textlink="">
      <xdr:nvSpPr>
        <xdr:cNvPr id="33" name="Rectangle: Rounded Corners 32">
          <a:extLst>
            <a:ext uri="{FF2B5EF4-FFF2-40B4-BE49-F238E27FC236}">
              <a16:creationId xmlns:a16="http://schemas.microsoft.com/office/drawing/2014/main" id="{FB86168A-E46C-1850-4D71-88333721AF00}"/>
            </a:ext>
          </a:extLst>
        </xdr:cNvPr>
        <xdr:cNvSpPr/>
      </xdr:nvSpPr>
      <xdr:spPr>
        <a:xfrm>
          <a:off x="14025563" y="4214812"/>
          <a:ext cx="9715500" cy="6405563"/>
        </a:xfrm>
        <a:prstGeom prst="roundRect">
          <a:avLst>
            <a:gd name="adj" fmla="val 8117"/>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0" cap="none" spc="0">
              <a:ln w="0"/>
              <a:solidFill>
                <a:schemeClr val="tx1"/>
              </a:solidFill>
              <a:effectLst>
                <a:outerShdw blurRad="38100" dist="19050" dir="2700000" algn="tl" rotWithShape="0">
                  <a:schemeClr val="dk1">
                    <a:alpha val="40000"/>
                  </a:schemeClr>
                </a:outerShdw>
              </a:effectLst>
            </a:rPr>
            <a:t>Avg Salary Change</a:t>
          </a:r>
          <a:r>
            <a:rPr lang="en-IN" sz="2800" b="0" cap="none" spc="0" baseline="0">
              <a:ln w="0"/>
              <a:solidFill>
                <a:schemeClr val="tx1"/>
              </a:solidFill>
              <a:effectLst>
                <a:outerShdw blurRad="38100" dist="19050" dir="2700000" algn="tl" rotWithShape="0">
                  <a:schemeClr val="dk1">
                    <a:alpha val="40000"/>
                  </a:schemeClr>
                </a:outerShdw>
              </a:effectLst>
            </a:rPr>
            <a:t> % Breakdown</a:t>
          </a:r>
          <a:endParaRPr lang="en-IN"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47625</xdr:colOff>
      <xdr:row>27</xdr:row>
      <xdr:rowOff>95250</xdr:rowOff>
    </xdr:from>
    <xdr:to>
      <xdr:col>19</xdr:col>
      <xdr:colOff>71437</xdr:colOff>
      <xdr:row>51</xdr:row>
      <xdr:rowOff>142876</xdr:rowOff>
    </xdr:to>
    <xdr:graphicFrame macro="">
      <xdr:nvGraphicFramePr>
        <xdr:cNvPr id="34" name="Chart 33">
          <a:extLst>
            <a:ext uri="{FF2B5EF4-FFF2-40B4-BE49-F238E27FC236}">
              <a16:creationId xmlns:a16="http://schemas.microsoft.com/office/drawing/2014/main" id="{FC75855E-4512-46F1-A57C-C1A8AA39C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451184</xdr:colOff>
      <xdr:row>27</xdr:row>
      <xdr:rowOff>66843</xdr:rowOff>
    </xdr:from>
    <xdr:to>
      <xdr:col>36</xdr:col>
      <xdr:colOff>417763</xdr:colOff>
      <xdr:row>51</xdr:row>
      <xdr:rowOff>100264</xdr:rowOff>
    </xdr:to>
    <xdr:graphicFrame macro="">
      <xdr:nvGraphicFramePr>
        <xdr:cNvPr id="35" name="Chart 34">
          <a:extLst>
            <a:ext uri="{FF2B5EF4-FFF2-40B4-BE49-F238E27FC236}">
              <a16:creationId xmlns:a16="http://schemas.microsoft.com/office/drawing/2014/main" id="{66C97D59-D015-412B-9221-B6DF48DEB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4</xdr:row>
      <xdr:rowOff>103542</xdr:rowOff>
    </xdr:from>
    <xdr:to>
      <xdr:col>4</xdr:col>
      <xdr:colOff>476249</xdr:colOff>
      <xdr:row>20</xdr:row>
      <xdr:rowOff>9</xdr:rowOff>
    </xdr:to>
    <xdr:pic>
      <xdr:nvPicPr>
        <xdr:cNvPr id="12" name="Picture 11">
          <a:extLst>
            <a:ext uri="{FF2B5EF4-FFF2-40B4-BE49-F238E27FC236}">
              <a16:creationId xmlns:a16="http://schemas.microsoft.com/office/drawing/2014/main" id="{E8D1B17B-2CD7-443D-A3F0-7D41A13ED58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848977"/>
          <a:ext cx="2878206" cy="28782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0</xdr:colOff>
      <xdr:row>65</xdr:row>
      <xdr:rowOff>30831</xdr:rowOff>
    </xdr:to>
    <xdr:sp macro="" textlink="">
      <xdr:nvSpPr>
        <xdr:cNvPr id="2" name="Rectangle 1">
          <a:extLst>
            <a:ext uri="{FF2B5EF4-FFF2-40B4-BE49-F238E27FC236}">
              <a16:creationId xmlns:a16="http://schemas.microsoft.com/office/drawing/2014/main" id="{5F0C7523-E24E-4302-8DFA-2BA4B7D3B8FB}"/>
            </a:ext>
          </a:extLst>
        </xdr:cNvPr>
        <xdr:cNvSpPr/>
      </xdr:nvSpPr>
      <xdr:spPr>
        <a:xfrm>
          <a:off x="0" y="0"/>
          <a:ext cx="23774400" cy="12413331"/>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twoCellAnchor>
    <xdr:from>
      <xdr:col>0</xdr:col>
      <xdr:colOff>19049</xdr:colOff>
      <xdr:row>0</xdr:row>
      <xdr:rowOff>0</xdr:rowOff>
    </xdr:from>
    <xdr:to>
      <xdr:col>39</xdr:col>
      <xdr:colOff>0</xdr:colOff>
      <xdr:row>5</xdr:row>
      <xdr:rowOff>0</xdr:rowOff>
    </xdr:to>
    <xdr:sp macro="" textlink="">
      <xdr:nvSpPr>
        <xdr:cNvPr id="3" name="Rectangle 2">
          <a:extLst>
            <a:ext uri="{FF2B5EF4-FFF2-40B4-BE49-F238E27FC236}">
              <a16:creationId xmlns:a16="http://schemas.microsoft.com/office/drawing/2014/main" id="{898727C5-76D2-41D9-81F6-96CEA98ECE3C}"/>
            </a:ext>
          </a:extLst>
        </xdr:cNvPr>
        <xdr:cNvSpPr/>
      </xdr:nvSpPr>
      <xdr:spPr>
        <a:xfrm>
          <a:off x="19049" y="0"/>
          <a:ext cx="23755351" cy="952500"/>
        </a:xfrm>
        <a:prstGeom prst="rect">
          <a:avLst/>
        </a:prstGeom>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a:t>Recession</a:t>
          </a:r>
          <a:r>
            <a:rPr lang="en-IN" sz="6000" baseline="0"/>
            <a:t> Workforce Overview</a:t>
          </a:r>
          <a:endParaRPr lang="en-IN" sz="6000"/>
        </a:p>
      </xdr:txBody>
    </xdr:sp>
    <xdr:clientData/>
  </xdr:twoCellAnchor>
  <xdr:twoCellAnchor>
    <xdr:from>
      <xdr:col>5</xdr:col>
      <xdr:colOff>119063</xdr:colOff>
      <xdr:row>4</xdr:row>
      <xdr:rowOff>178594</xdr:rowOff>
    </xdr:from>
    <xdr:to>
      <xdr:col>5</xdr:col>
      <xdr:colOff>178594</xdr:colOff>
      <xdr:row>65</xdr:row>
      <xdr:rowOff>59531</xdr:rowOff>
    </xdr:to>
    <xdr:cxnSp macro="">
      <xdr:nvCxnSpPr>
        <xdr:cNvPr id="4" name="Straight Connector 3">
          <a:extLst>
            <a:ext uri="{FF2B5EF4-FFF2-40B4-BE49-F238E27FC236}">
              <a16:creationId xmlns:a16="http://schemas.microsoft.com/office/drawing/2014/main" id="{DCAB9623-FE28-475F-938E-96873C08A637}"/>
            </a:ext>
          </a:extLst>
        </xdr:cNvPr>
        <xdr:cNvCxnSpPr/>
      </xdr:nvCxnSpPr>
      <xdr:spPr>
        <a:xfrm flipH="1">
          <a:off x="3167063" y="940594"/>
          <a:ext cx="59531" cy="1150143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138305</xdr:colOff>
      <xdr:row>25</xdr:row>
      <xdr:rowOff>93464</xdr:rowOff>
    </xdr:from>
    <xdr:to>
      <xdr:col>4</xdr:col>
      <xdr:colOff>470236</xdr:colOff>
      <xdr:row>30</xdr:row>
      <xdr:rowOff>12366</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8A6C0BE1-3463-4F21-8DC4-9B4A2DD25E4F}"/>
            </a:ext>
          </a:extLst>
        </xdr:cNvPr>
        <xdr:cNvSpPr/>
      </xdr:nvSpPr>
      <xdr:spPr>
        <a:xfrm>
          <a:off x="138305" y="4855964"/>
          <a:ext cx="2770331" cy="871402"/>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Industry</a:t>
          </a:r>
        </a:p>
      </xdr:txBody>
    </xdr:sp>
    <xdr:clientData/>
  </xdr:twoCellAnchor>
  <xdr:twoCellAnchor>
    <xdr:from>
      <xdr:col>0</xdr:col>
      <xdr:colOff>102420</xdr:colOff>
      <xdr:row>31</xdr:row>
      <xdr:rowOff>141805</xdr:rowOff>
    </xdr:from>
    <xdr:to>
      <xdr:col>4</xdr:col>
      <xdr:colOff>434351</xdr:colOff>
      <xdr:row>36</xdr:row>
      <xdr:rowOff>69995</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13F516DC-34C6-4878-A98F-25779B45D66B}"/>
            </a:ext>
          </a:extLst>
        </xdr:cNvPr>
        <xdr:cNvSpPr/>
      </xdr:nvSpPr>
      <xdr:spPr>
        <a:xfrm>
          <a:off x="102420" y="6047305"/>
          <a:ext cx="2770331" cy="880690"/>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Trends</a:t>
          </a:r>
          <a:endParaRPr lang="en-IN" sz="4400" b="1" cap="none" spc="0">
            <a:ln w="0">
              <a:solidFill>
                <a:sysClr val="windowText" lastClr="000000"/>
              </a:solid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97337</xdr:colOff>
      <xdr:row>38</xdr:row>
      <xdr:rowOff>75525</xdr:rowOff>
    </xdr:from>
    <xdr:to>
      <xdr:col>4</xdr:col>
      <xdr:colOff>429268</xdr:colOff>
      <xdr:row>42</xdr:row>
      <xdr:rowOff>179636</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4FB06762-0C44-4487-A527-C46724DEA74D}"/>
            </a:ext>
          </a:extLst>
        </xdr:cNvPr>
        <xdr:cNvSpPr/>
      </xdr:nvSpPr>
      <xdr:spPr>
        <a:xfrm>
          <a:off x="97337" y="7314525"/>
          <a:ext cx="2770331" cy="866111"/>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outerShdw blurRad="38100" dist="19050" dir="2700000" algn="tl" rotWithShape="0">
                  <a:schemeClr val="dk1">
                    <a:alpha val="40000"/>
                  </a:schemeClr>
                </a:outerShdw>
              </a:effectLst>
            </a:rPr>
            <a:t>WorkForce</a:t>
          </a:r>
          <a:endParaRPr lang="en-IN" sz="4000" b="1">
            <a:ln>
              <a:solidFill>
                <a:sysClr val="windowText" lastClr="000000"/>
              </a:solidFill>
            </a:ln>
            <a:solidFill>
              <a:schemeClr val="tx1"/>
            </a:solidFill>
          </a:endParaRPr>
        </a:p>
      </xdr:txBody>
    </xdr:sp>
    <xdr:clientData/>
  </xdr:twoCellAnchor>
  <xdr:twoCellAnchor>
    <xdr:from>
      <xdr:col>0</xdr:col>
      <xdr:colOff>92178</xdr:colOff>
      <xdr:row>45</xdr:row>
      <xdr:rowOff>34714</xdr:rowOff>
    </xdr:from>
    <xdr:to>
      <xdr:col>4</xdr:col>
      <xdr:colOff>424109</xdr:colOff>
      <xdr:row>49</xdr:row>
      <xdr:rowOff>115602</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CE5D0FA7-347D-43CD-97B5-DE95C23B96C3}"/>
            </a:ext>
          </a:extLst>
        </xdr:cNvPr>
        <xdr:cNvSpPr/>
      </xdr:nvSpPr>
      <xdr:spPr>
        <a:xfrm>
          <a:off x="92178" y="8607214"/>
          <a:ext cx="2770331" cy="842888"/>
        </a:xfrm>
        <a:prstGeom prst="round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4400" b="0" cap="none" spc="0">
              <a:ln w="0"/>
              <a:solidFill>
                <a:schemeClr val="tx1"/>
              </a:solidFill>
              <a:effectLst>
                <a:outerShdw blurRad="38100" dist="19050" dir="2700000" algn="tl" rotWithShape="0">
                  <a:schemeClr val="dk1">
                    <a:alpha val="40000"/>
                  </a:schemeClr>
                </a:outerShdw>
              </a:effectLst>
            </a:rPr>
            <a:t>About</a:t>
          </a:r>
        </a:p>
      </xdr:txBody>
    </xdr:sp>
    <xdr:clientData/>
  </xdr:twoCellAnchor>
  <xdr:twoCellAnchor>
    <xdr:from>
      <xdr:col>0</xdr:col>
      <xdr:colOff>111847</xdr:colOff>
      <xdr:row>18</xdr:row>
      <xdr:rowOff>172839</xdr:rowOff>
    </xdr:from>
    <xdr:to>
      <xdr:col>4</xdr:col>
      <xdr:colOff>443778</xdr:colOff>
      <xdr:row>23</xdr:row>
      <xdr:rowOff>91741</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0A51C14D-98A9-43D5-B9B0-937F0CAC46D6}"/>
            </a:ext>
          </a:extLst>
        </xdr:cNvPr>
        <xdr:cNvSpPr/>
      </xdr:nvSpPr>
      <xdr:spPr>
        <a:xfrm>
          <a:off x="111847" y="3601839"/>
          <a:ext cx="2770331" cy="871402"/>
        </a:xfrm>
        <a:prstGeom prst="roundRect">
          <a:avLst/>
        </a:prstGeom>
        <a:solidFill>
          <a:srgbClr val="CBE2E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outerShdw blurRad="38100" dist="19050" dir="2700000" algn="tl" rotWithShape="0">
                  <a:schemeClr val="dk1">
                    <a:alpha val="40000"/>
                  </a:schemeClr>
                </a:outerShdw>
              </a:effectLst>
            </a:rPr>
            <a:t>Dashboard</a:t>
          </a:r>
        </a:p>
      </xdr:txBody>
    </xdr:sp>
    <xdr:clientData/>
  </xdr:twoCellAnchor>
  <xdr:twoCellAnchor editAs="oneCell">
    <xdr:from>
      <xdr:col>0</xdr:col>
      <xdr:colOff>0</xdr:colOff>
      <xdr:row>4</xdr:row>
      <xdr:rowOff>103542</xdr:rowOff>
    </xdr:from>
    <xdr:to>
      <xdr:col>4</xdr:col>
      <xdr:colOff>476249</xdr:colOff>
      <xdr:row>20</xdr:row>
      <xdr:rowOff>9</xdr:rowOff>
    </xdr:to>
    <xdr:pic>
      <xdr:nvPicPr>
        <xdr:cNvPr id="24" name="Picture 23">
          <a:extLst>
            <a:ext uri="{FF2B5EF4-FFF2-40B4-BE49-F238E27FC236}">
              <a16:creationId xmlns:a16="http://schemas.microsoft.com/office/drawing/2014/main" id="{959D91D7-5BD5-4C7E-9DA7-3BBA5AEAC0D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865542"/>
          <a:ext cx="2914649" cy="2944467"/>
        </a:xfrm>
        <a:prstGeom prst="rect">
          <a:avLst/>
        </a:prstGeom>
      </xdr:spPr>
    </xdr:pic>
    <xdr:clientData/>
  </xdr:twoCellAnchor>
  <xdr:twoCellAnchor>
    <xdr:from>
      <xdr:col>5</xdr:col>
      <xdr:colOff>517663</xdr:colOff>
      <xdr:row>7</xdr:row>
      <xdr:rowOff>82826</xdr:rowOff>
    </xdr:from>
    <xdr:to>
      <xdr:col>38</xdr:col>
      <xdr:colOff>103533</xdr:colOff>
      <xdr:row>63</xdr:row>
      <xdr:rowOff>82826</xdr:rowOff>
    </xdr:to>
    <xdr:sp macro="" textlink="">
      <xdr:nvSpPr>
        <xdr:cNvPr id="25" name="Rectangle 24">
          <a:extLst>
            <a:ext uri="{FF2B5EF4-FFF2-40B4-BE49-F238E27FC236}">
              <a16:creationId xmlns:a16="http://schemas.microsoft.com/office/drawing/2014/main" id="{618D8D35-9DF0-924E-A447-1489AE004946}"/>
            </a:ext>
          </a:extLst>
        </xdr:cNvPr>
        <xdr:cNvSpPr/>
      </xdr:nvSpPr>
      <xdr:spPr>
        <a:xfrm>
          <a:off x="3520109" y="1387337"/>
          <a:ext cx="19402011" cy="10436087"/>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050"/>
            <a:t> </a:t>
          </a:r>
          <a:r>
            <a:rPr lang="en-IN" sz="2400" b="1"/>
            <a:t>ABOUT THIS DASHBOARD</a:t>
          </a:r>
        </a:p>
        <a:p>
          <a:pPr algn="l"/>
          <a:endParaRPr lang="en-IN" sz="1050"/>
        </a:p>
        <a:p>
          <a:pPr algn="l"/>
          <a:r>
            <a:rPr lang="en-IN" sz="1400" b="1"/>
            <a:t>Purpose:</a:t>
          </a:r>
        </a:p>
        <a:p>
          <a:pPr algn="l"/>
          <a:r>
            <a:rPr lang="en-IN" sz="2800"/>
            <a:t>Helps HR leaders, business strategists, and economists understand how recessions impact jobs, salaries, and hiring</a:t>
          </a:r>
          <a:r>
            <a:rPr lang="en-IN" sz="1050"/>
            <a:t>.</a:t>
          </a:r>
        </a:p>
        <a:p>
          <a:pPr algn="l"/>
          <a:endParaRPr lang="en-IN" sz="2000" b="1"/>
        </a:p>
        <a:p>
          <a:pPr algn="l"/>
          <a:r>
            <a:rPr lang="en-IN" sz="2000" b="1"/>
            <a:t>Key Questions Answered:</a:t>
          </a:r>
        </a:p>
        <a:p>
          <a:pPr algn="l"/>
          <a:r>
            <a:rPr lang="en-IN" sz="2000"/>
            <a:t>• Which industries lose the most jobs?</a:t>
          </a:r>
        </a:p>
        <a:p>
          <a:pPr algn="l"/>
          <a:r>
            <a:rPr lang="en-IN" sz="2000"/>
            <a:t>• Are large or small companies more vulnerable?</a:t>
          </a:r>
        </a:p>
        <a:p>
          <a:pPr algn="l"/>
          <a:r>
            <a:rPr lang="en-IN" sz="2000"/>
            <a:t>• How do salary cuts compare across sectors?</a:t>
          </a:r>
        </a:p>
        <a:p>
          <a:pPr algn="l"/>
          <a:r>
            <a:rPr lang="en-IN" sz="2000"/>
            <a:t>• Which countries recover fastest?</a:t>
          </a:r>
        </a:p>
        <a:p>
          <a:pPr algn="l"/>
          <a:r>
            <a:rPr lang="en-IN" sz="2000"/>
            <a:t>• What is net workforce change before vs. after recession?</a:t>
          </a:r>
        </a:p>
        <a:p>
          <a:pPr algn="l"/>
          <a:endParaRPr lang="en-IN" sz="2000"/>
        </a:p>
        <a:p>
          <a:pPr algn="l"/>
          <a:r>
            <a:rPr lang="en-IN" sz="2000" b="1"/>
            <a:t>Data Coverage:</a:t>
          </a:r>
        </a:p>
        <a:p>
          <a:pPr algn="l"/>
          <a:r>
            <a:rPr lang="en-IN" sz="2000"/>
            <a:t>Years: 2008, 2009, 2020, 2021</a:t>
          </a:r>
        </a:p>
        <a:p>
          <a:pPr algn="l"/>
          <a:r>
            <a:rPr lang="en-IN" sz="2000"/>
            <a:t>Countries: USA, UK, Germany, India</a:t>
          </a:r>
        </a:p>
        <a:p>
          <a:pPr algn="l"/>
          <a:r>
            <a:rPr lang="en-IN" sz="2000"/>
            <a:t>Industries: IT, Healthcare, Finance, Retail, Manufacturing</a:t>
          </a:r>
        </a:p>
        <a:p>
          <a:pPr algn="l"/>
          <a:r>
            <a:rPr lang="en-IN" sz="2000"/>
            <a:t>Company Sizes: Small, Medium, Large</a:t>
          </a:r>
        </a:p>
        <a:p>
          <a:pPr algn="l"/>
          <a:endParaRPr lang="en-IN" sz="2000" b="1"/>
        </a:p>
        <a:p>
          <a:pPr algn="l"/>
          <a:r>
            <a:rPr lang="en-IN" sz="2000" b="1"/>
            <a:t>Key Metrics:</a:t>
          </a:r>
        </a:p>
        <a:p>
          <a:pPr algn="l"/>
          <a:r>
            <a:rPr lang="en-IN" sz="2000"/>
            <a:t>• Job Change % = (After Jobs – Before Jobs) / Before Jobs</a:t>
          </a:r>
        </a:p>
        <a:p>
          <a:pPr algn="l"/>
          <a:r>
            <a:rPr lang="en-IN" sz="2000"/>
            <a:t>• Salary Change % = (After Salary – Before Salary) / Before Salary</a:t>
          </a:r>
        </a:p>
        <a:p>
          <a:pPr algn="l"/>
          <a:r>
            <a:rPr lang="en-IN" sz="2000"/>
            <a:t>• Layoffs = Number of employees laid off</a:t>
          </a:r>
        </a:p>
        <a:p>
          <a:pPr algn="l"/>
          <a:r>
            <a:rPr lang="en-IN" sz="2000"/>
            <a:t>• Hiring Rate = New hires per 100 employees</a:t>
          </a:r>
        </a:p>
        <a:p>
          <a:pPr algn="l"/>
          <a:r>
            <a:rPr lang="en-IN" sz="2000"/>
            <a:t>• Unemployment Rate = % of labor force unemployed</a:t>
          </a:r>
        </a:p>
        <a:p>
          <a:pPr algn="l"/>
          <a:endParaRPr lang="en-IN" sz="2000"/>
        </a:p>
        <a:p>
          <a:pPr algn="l"/>
          <a:r>
            <a:rPr lang="en-IN" sz="2000" b="1"/>
            <a:t>Top Insights from Data:</a:t>
          </a:r>
        </a:p>
        <a:p>
          <a:pPr algn="l"/>
          <a:r>
            <a:rPr lang="en-IN" sz="2000"/>
            <a:t>• IT is most recession-resilient (–11.4% job change)</a:t>
          </a:r>
        </a:p>
        <a:p>
          <a:pPr algn="l"/>
          <a:r>
            <a:rPr lang="en-IN" sz="2000"/>
            <a:t>• Healthcare is most vulnerable (–16.2% job change)</a:t>
          </a:r>
        </a:p>
        <a:p>
          <a:pPr algn="l"/>
          <a:r>
            <a:rPr lang="en-IN" sz="2000"/>
            <a:t>• Large companies face highest job losses (–17.0%)</a:t>
          </a:r>
        </a:p>
        <a:p>
          <a:pPr algn="l"/>
          <a:r>
            <a:rPr lang="en-IN" sz="2000"/>
            <a:t>• 2009 was the worst year (–15.5% job change)</a:t>
          </a:r>
        </a:p>
        <a:p>
          <a:pPr algn="l"/>
          <a:r>
            <a:rPr lang="en-IN" sz="2000"/>
            <a:t>• Higher hiring rates reduce net job loss</a:t>
          </a:r>
        </a:p>
        <a:p>
          <a:pPr algn="l"/>
          <a:endParaRPr lang="en-IN" sz="2000"/>
        </a:p>
        <a:p>
          <a:pPr algn="l"/>
          <a:endParaRPr lang="en-IN" sz="2000"/>
        </a:p>
        <a:p>
          <a:pPr algn="l"/>
          <a:endParaRPr lang="en-IN" sz="105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266700</xdr:colOff>
      <xdr:row>9</xdr:row>
      <xdr:rowOff>176212</xdr:rowOff>
    </xdr:from>
    <xdr:to>
      <xdr:col>6</xdr:col>
      <xdr:colOff>704850</xdr:colOff>
      <xdr:row>24</xdr:row>
      <xdr:rowOff>61912</xdr:rowOff>
    </xdr:to>
    <xdr:graphicFrame macro="">
      <xdr:nvGraphicFramePr>
        <xdr:cNvPr id="8" name="Chart 7">
          <a:extLst>
            <a:ext uri="{FF2B5EF4-FFF2-40B4-BE49-F238E27FC236}">
              <a16:creationId xmlns:a16="http://schemas.microsoft.com/office/drawing/2014/main" id="{7E10B5AA-00FC-9701-1972-7CE5DC1B4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742950</xdr:colOff>
      <xdr:row>9</xdr:row>
      <xdr:rowOff>166687</xdr:rowOff>
    </xdr:from>
    <xdr:to>
      <xdr:col>12</xdr:col>
      <xdr:colOff>466725</xdr:colOff>
      <xdr:row>24</xdr:row>
      <xdr:rowOff>52387</xdr:rowOff>
    </xdr:to>
    <xdr:graphicFrame macro="">
      <xdr:nvGraphicFramePr>
        <xdr:cNvPr id="9" name="Chart 8">
          <a:extLst>
            <a:ext uri="{FF2B5EF4-FFF2-40B4-BE49-F238E27FC236}">
              <a16:creationId xmlns:a16="http://schemas.microsoft.com/office/drawing/2014/main" id="{ED0DD3A3-FAAC-F3F3-CEDC-8BEA9BD46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1066800</xdr:colOff>
      <xdr:row>9</xdr:row>
      <xdr:rowOff>47625</xdr:rowOff>
    </xdr:from>
    <xdr:to>
      <xdr:col>16</xdr:col>
      <xdr:colOff>114300</xdr:colOff>
      <xdr:row>23</xdr:row>
      <xdr:rowOff>123825</xdr:rowOff>
    </xdr:to>
    <xdr:graphicFrame macro="">
      <xdr:nvGraphicFramePr>
        <xdr:cNvPr id="10" name="Chart 9">
          <a:extLst>
            <a:ext uri="{FF2B5EF4-FFF2-40B4-BE49-F238E27FC236}">
              <a16:creationId xmlns:a16="http://schemas.microsoft.com/office/drawing/2014/main" id="{6AEC759F-F674-F3D0-5B4A-E61391D2E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742950</xdr:colOff>
      <xdr:row>8</xdr:row>
      <xdr:rowOff>28575</xdr:rowOff>
    </xdr:from>
    <xdr:to>
      <xdr:col>21</xdr:col>
      <xdr:colOff>190500</xdr:colOff>
      <xdr:row>22</xdr:row>
      <xdr:rowOff>104775</xdr:rowOff>
    </xdr:to>
    <xdr:graphicFrame macro="">
      <xdr:nvGraphicFramePr>
        <xdr:cNvPr id="3" name="Chart 2">
          <a:extLst>
            <a:ext uri="{FF2B5EF4-FFF2-40B4-BE49-F238E27FC236}">
              <a16:creationId xmlns:a16="http://schemas.microsoft.com/office/drawing/2014/main" id="{42F0B6E6-30A0-0551-457F-EFE7A20BF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447675</xdr:colOff>
      <xdr:row>25</xdr:row>
      <xdr:rowOff>4762</xdr:rowOff>
    </xdr:from>
    <xdr:to>
      <xdr:col>7</xdr:col>
      <xdr:colOff>323850</xdr:colOff>
      <xdr:row>39</xdr:row>
      <xdr:rowOff>80962</xdr:rowOff>
    </xdr:to>
    <xdr:graphicFrame macro="">
      <xdr:nvGraphicFramePr>
        <xdr:cNvPr id="2" name="Chart 1">
          <a:extLst>
            <a:ext uri="{FF2B5EF4-FFF2-40B4-BE49-F238E27FC236}">
              <a16:creationId xmlns:a16="http://schemas.microsoft.com/office/drawing/2014/main" id="{F90336A2-135B-8B82-F03C-AF732B498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266700</xdr:colOff>
      <xdr:row>40</xdr:row>
      <xdr:rowOff>71437</xdr:rowOff>
    </xdr:from>
    <xdr:to>
      <xdr:col>7</xdr:col>
      <xdr:colOff>142875</xdr:colOff>
      <xdr:row>54</xdr:row>
      <xdr:rowOff>147637</xdr:rowOff>
    </xdr:to>
    <xdr:graphicFrame macro="">
      <xdr:nvGraphicFramePr>
        <xdr:cNvPr id="4" name="Chart 3">
          <a:extLst>
            <a:ext uri="{FF2B5EF4-FFF2-40B4-BE49-F238E27FC236}">
              <a16:creationId xmlns:a16="http://schemas.microsoft.com/office/drawing/2014/main" id="{A4AE7490-78F9-6937-A20F-D8A7AF175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476250</xdr:colOff>
      <xdr:row>56</xdr:row>
      <xdr:rowOff>176212</xdr:rowOff>
    </xdr:from>
    <xdr:to>
      <xdr:col>7</xdr:col>
      <xdr:colOff>352425</xdr:colOff>
      <xdr:row>71</xdr:row>
      <xdr:rowOff>61912</xdr:rowOff>
    </xdr:to>
    <xdr:graphicFrame macro="">
      <xdr:nvGraphicFramePr>
        <xdr:cNvPr id="5" name="Chart 4">
          <a:extLst>
            <a:ext uri="{FF2B5EF4-FFF2-40B4-BE49-F238E27FC236}">
              <a16:creationId xmlns:a16="http://schemas.microsoft.com/office/drawing/2014/main" id="{085FF8CD-984C-78E4-D2FC-B39C00D35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914400</xdr:colOff>
      <xdr:row>70</xdr:row>
      <xdr:rowOff>147637</xdr:rowOff>
    </xdr:from>
    <xdr:to>
      <xdr:col>6</xdr:col>
      <xdr:colOff>514350</xdr:colOff>
      <xdr:row>85</xdr:row>
      <xdr:rowOff>33337</xdr:rowOff>
    </xdr:to>
    <xdr:graphicFrame macro="">
      <xdr:nvGraphicFramePr>
        <xdr:cNvPr id="6" name="Chart 5">
          <a:extLst>
            <a:ext uri="{FF2B5EF4-FFF2-40B4-BE49-F238E27FC236}">
              <a16:creationId xmlns:a16="http://schemas.microsoft.com/office/drawing/2014/main" id="{A40DD5F2-DCB1-2C3A-C14E-251441102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ITH CHINNA" refreshedDate="46113.774528587965" createdVersion="8" refreshedVersion="8" minRefreshableVersion="3" recordCount="200" xr:uid="{31882199-156D-4CD7-82CB-370EE5062422}">
  <cacheSource type="worksheet">
    <worksheetSource name="Table1"/>
  </cacheSource>
  <cacheFields count="18">
    <cacheField name="Year" numFmtId="0">
      <sharedItems containsSemiMixedTypes="0" containsString="0" containsNumber="1" containsInteger="1" minValue="2008" maxValue="2021" count="4">
        <n v="2020"/>
        <n v="2009"/>
        <n v="2008"/>
        <n v="2021"/>
      </sharedItems>
    </cacheField>
    <cacheField name="Country" numFmtId="0">
      <sharedItems count="4">
        <s v="USA"/>
        <s v="UK"/>
        <s v="Germany"/>
        <s v="India"/>
      </sharedItems>
    </cacheField>
    <cacheField name="Industry" numFmtId="0">
      <sharedItems count="5">
        <s v="Healthcare"/>
        <s v="Retail"/>
        <s v="Finance"/>
        <s v="IT"/>
        <s v="Manufacturing"/>
      </sharedItems>
    </cacheField>
    <cacheField name="Company_Size" numFmtId="0">
      <sharedItems count="3">
        <s v="Large"/>
        <s v="Small"/>
        <s v="Medium"/>
      </sharedItems>
    </cacheField>
    <cacheField name="Before_Jobs" numFmtId="1">
      <sharedItems containsSemiMixedTypes="0" containsString="0" containsNumber="1" containsInteger="1" minValue="509" maxValue="4995"/>
    </cacheField>
    <cacheField name="After_Jobs" numFmtId="0">
      <sharedItems containsSemiMixedTypes="0" containsString="0" containsNumber="1" containsInteger="1" minValue="82" maxValue="4808"/>
    </cacheField>
    <cacheField name="Job_Change_%" numFmtId="9">
      <sharedItems containsSemiMixedTypes="0" containsString="0" containsNumber="1" minValue="-0.85689354275741714" maxValue="-1.2102196324518153E-2" count="200">
        <n v="-0.35819209039548022"/>
        <n v="-7.5301918067724363E-2"/>
        <n v="-0.18155111633372503"/>
        <n v="-1.3437248051599033E-2"/>
        <n v="-0.14949083503054988"/>
        <n v="-6.183783783783784E-2"/>
        <n v="-0.24161490683229814"/>
        <n v="-9.7999183340138837E-2"/>
        <n v="-0.15245398773006136"/>
        <n v="-7.2478774073307106E-2"/>
        <n v="-0.16143497757847533"/>
        <n v="-9.0740740740740747E-2"/>
        <n v="-6.9478908188585611E-2"/>
        <n v="-2.5368248772504091E-2"/>
        <n v="-8.2644628099173556E-2"/>
        <n v="-0.22939560439560439"/>
        <n v="-0.12481514344868382"/>
        <n v="-0.35952848722986247"/>
        <n v="-0.20040485829959515"/>
        <n v="-7.6727964489537101E-2"/>
        <n v="-7.8523489932885909E-2"/>
        <n v="-3.9531478770131773E-2"/>
        <n v="-0.1233140655105973"/>
        <n v="-4.8854041013268998E-2"/>
        <n v="-5.5967078189300412E-2"/>
        <n v="-0.79759862778730706"/>
        <n v="-4.8372715113687029E-2"/>
        <n v="-2.6203966005665724E-2"/>
        <n v="-0.20503597122302158"/>
        <n v="-0.53223140495867771"/>
        <n v="-0.85689354275741714"/>
        <n v="-5.7679409792085849E-2"/>
        <n v="-0.19295302013422819"/>
        <n v="-0.27283653846153844"/>
        <n v="-0.10090405365995918"/>
        <n v="-0.17591868647380765"/>
        <n v="-6.9993519118600134E-2"/>
        <n v="-6.8965517241379309E-2"/>
        <n v="-0.16901945822205267"/>
        <n v="-2.2565562106119128E-2"/>
        <n v="-0.39209726443769"/>
        <n v="-2.2693843244379071E-2"/>
        <n v="-6.2767475035663337E-2"/>
        <n v="-0.23720650210716435"/>
        <n v="-0.26551982049364248"/>
        <n v="-3.9215686274509803E-2"/>
        <n v="-9.2821782178217821E-2"/>
        <n v="-4.060913705583756E-2"/>
        <n v="-7.046910518702211E-2"/>
        <n v="-0.24583572659391154"/>
        <n v="-8.7793826111583123E-2"/>
        <n v="-5.0686378035902854E-2"/>
        <n v="-0.65052356020942403"/>
        <n v="-0.10633050150726227"/>
        <n v="-0.14833836858006041"/>
        <n v="-5.8796080261315914E-2"/>
        <n v="-8.755760368663594E-2"/>
        <n v="-0.16653094462540716"/>
        <n v="-2.6824703680598878E-2"/>
        <n v="-4.6900489396411095E-2"/>
        <n v="-6.1911170928667561E-2"/>
        <n v="-2.585487906588824E-2"/>
        <n v="-5.7096247960848286E-2"/>
        <n v="-1.2102196324518153E-2"/>
        <n v="-8.9009287925696595E-2"/>
        <n v="-0.13550135501355012"/>
        <n v="-8.7000200924251564E-2"/>
        <n v="-0.10800744878957169"/>
        <n v="-6.4895558710200765E-2"/>
        <n v="-7.6372315035799526E-2"/>
        <n v="-3.9473684210526314E-2"/>
        <n v="-0.59168704156479213"/>
        <n v="-6.0869565217391307E-2"/>
        <n v="-8.6538461538461536E-2"/>
        <n v="-4.6114649681528661E-2"/>
        <n v="-0.10702151755379388"/>
        <n v="-7.8362255965292837E-2"/>
        <n v="-0.11516601854621597"/>
        <n v="-0.13021491782553729"/>
        <n v="-3.8430256201708014E-2"/>
        <n v="-0.10576015108593012"/>
        <n v="-0.176081200353045"/>
        <n v="-3.2009925558312655E-2"/>
        <n v="-0.30879478827361562"/>
        <n v="-0.15107913669064749"/>
        <n v="-0.15013103706476974"/>
        <n v="-0.30355220667384286"/>
        <n v="-4.2398777692895337E-2"/>
        <n v="-0.19039451114922812"/>
        <n v="-0.42427281845536607"/>
        <n v="-3.7830687830687833E-2"/>
        <n v="-3.1281533804238142E-2"/>
        <n v="-0.2147982062780269"/>
        <n v="-0.1063504208110176"/>
        <n v="-0.10807553234230614"/>
        <n v="-1.6733067729083666E-2"/>
        <n v="-0.12306858227161832"/>
        <n v="-0.16821192052980133"/>
        <n v="-7.1030640668523673E-2"/>
        <n v="-8.1039755351681952E-2"/>
        <n v="-0.26427406199021208"/>
        <n v="-5.8983890954151179E-2"/>
        <n v="-0.1943744752308984"/>
        <n v="-1.7196083114401718E-2"/>
        <n v="-0.21103896103896103"/>
        <n v="-7.3481265914878136E-2"/>
        <n v="-0.20591133004926107"/>
        <n v="-5.3052093320549699E-2"/>
        <n v="-3.3935934031081506E-2"/>
        <n v="-8.7104368297148835E-2"/>
        <n v="-9.0231788079470202E-2"/>
        <n v="-4.1798107255520502E-2"/>
        <n v="-8.4947069455202681E-2"/>
        <n v="-0.19944211994421199"/>
        <n v="-2.8790786948176585E-2"/>
        <n v="-5.2631578947368418E-2"/>
        <n v="-0.21494252873563219"/>
        <n v="-3.5437430786267994E-2"/>
        <n v="-0.20310296191819463"/>
        <n v="-0.56738768718802002"/>
        <n v="-5.633001422475107E-2"/>
        <n v="-0.2158869395711501"/>
        <n v="-7.2656503405773593E-2"/>
        <n v="-8.3914458391445845E-2"/>
        <n v="-0.11314067611777535"/>
        <n v="-3.5221189067342916E-2"/>
        <n v="-8.1081081081081086E-2"/>
        <n v="-0.14255014326647564"/>
        <n v="-6.6666666666666666E-2"/>
        <n v="-7.7475434618291761E-2"/>
        <n v="-0.30401034928848641"/>
        <n v="-0.11593264248704663"/>
        <n v="-8.1869290231904424E-2"/>
        <n v="-2.8771175047055661E-2"/>
        <n v="-3.763769889840881E-2"/>
        <n v="-0.25181159420289856"/>
        <n v="-0.58841463414634143"/>
        <n v="-6.7159383033419021E-2"/>
        <n v="-3.6427248405021609E-2"/>
        <n v="-0.10642908740669396"/>
        <n v="-8.9081081081081079E-2"/>
        <n v="-0.52009744214372711"/>
        <n v="-4.9846444601937163E-2"/>
        <n v="-8.8006230529595011E-2"/>
        <n v="-5.6825396825396828E-2"/>
        <n v="-0.11289009497964722"/>
        <n v="-9.2927631578947373E-2"/>
        <n v="-1.2646793134598013E-2"/>
        <n v="-0.10511033681765389"/>
        <n v="-3.6422646952758743E-2"/>
        <n v="-0.12349206349206349"/>
        <n v="-3.0828909759085341E-2"/>
        <n v="-0.17532467532467533"/>
        <n v="-5.5648302726766831E-2"/>
        <n v="-7.289484708839547E-2"/>
        <n v="-0.11560328490208464"/>
        <n v="-1.5956284153005464E-2"/>
        <n v="-0.1218801996672213"/>
        <n v="-9.0725806451612906E-2"/>
        <n v="-8.9123424215772504E-2"/>
        <n v="-0.10470360824742268"/>
        <n v="-0.47039827771797632"/>
        <n v="-8.4411583487369074E-2"/>
        <n v="-5.3237981724274928E-2"/>
        <n v="-4.8475542882211009E-2"/>
        <n v="-0.47455752212389379"/>
        <n v="-0.14673913043478262"/>
        <n v="-5.5555555555555552E-2"/>
        <n v="-8.2228116710875335E-2"/>
        <n v="-0.18511066398390341"/>
        <n v="-0.15351506456241032"/>
        <n v="-0.13302486986697512"/>
        <n v="-4.9477871705619098E-2"/>
        <n v="-5.6118472330475448E-2"/>
        <n v="-0.13513513513513514"/>
        <n v="-8.4674005080440304E-2"/>
        <n v="-0.12310797174571141"/>
        <n v="-9.642682329907E-2"/>
        <n v="-0.1399906672888474"/>
        <n v="-5.5900621118012424E-2"/>
        <n v="-0.77868852459016391"/>
        <n v="-0.12224168126094571"/>
        <n v="-0.30493827160493825"/>
        <n v="-6.6840731070496082E-2"/>
        <n v="-9.2427616926503336E-2"/>
        <n v="-0.10340041637751561"/>
        <n v="-9.7491448118586094E-2"/>
        <n v="-2.0188116540490939E-2"/>
        <n v="-0.21768251841929001"/>
        <n v="-0.14193867457962414"/>
        <n v="-7.0497147514262434E-2"/>
        <n v="-0.21935129191863662"/>
        <n v="-0.15065913370998116"/>
        <n v="-0.11775315640298892"/>
        <n v="-4.6910384988676807E-2"/>
        <n v="-0.28869047619047616"/>
        <n v="-3.8171140939597316E-2"/>
        <n v="-0.12288670199343932"/>
        <n v="-0.13138948884089272"/>
        <n v="-2.8611111111111111E-2"/>
      </sharedItems>
    </cacheField>
    <cacheField name="Before_Salary" numFmtId="1">
      <sharedItems containsSemiMixedTypes="0" containsString="0" containsNumber="1" containsInteger="1" minValue="30382" maxValue="99501"/>
    </cacheField>
    <cacheField name="After_Salary" numFmtId="2">
      <sharedItems containsSemiMixedTypes="0" containsString="0" containsNumber="1" containsInteger="1" minValue="22634" maxValue="98286"/>
    </cacheField>
    <cacheField name="Salary_Change_%" numFmtId="10">
      <sharedItems containsSemiMixedTypes="0" containsString="0" containsNumber="1" minValue="-0.2585579978379795" maxValue="-1.2210932553441673E-2"/>
    </cacheField>
    <cacheField name="Unemployment_Rate" numFmtId="0">
      <sharedItems containsSemiMixedTypes="0" containsString="0" containsNumber="1" minValue="4.01" maxValue="11.97"/>
    </cacheField>
    <cacheField name="GDP_Growth" numFmtId="0">
      <sharedItems containsSemiMixedTypes="0" containsString="0" containsNumber="1" minValue="-4.9800000000000004" maxValue="2.99"/>
    </cacheField>
    <cacheField name="Layoffs" numFmtId="2">
      <sharedItems containsSemiMixedTypes="0" containsString="0" containsNumber="1" containsInteger="1" minValue="10" maxValue="300"/>
    </cacheField>
    <cacheField name="Hiring_Rate" numFmtId="1">
      <sharedItems containsSemiMixedTypes="0" containsString="0" containsNumber="1" containsInteger="1" minValue="5" maxValue="200"/>
    </cacheField>
    <cacheField name="Field1" numFmtId="0" formula="'Job_Change_%'" databaseField="0"/>
    <cacheField name="Job change%" numFmtId="0" formula=" (Before_Jobs-After_Jobs)/Before_Jobs" databaseField="0"/>
    <cacheField name="impacted_score" numFmtId="0" formula="'Job_Change_%'-'Salary_Change_%'" databaseField="0"/>
    <cacheField name="Field2" numFmtId="0" formula=" (After_Jobs-(Before_Jobs-Layoffs))/Before_Salary" databaseField="0"/>
  </cacheFields>
  <extLst>
    <ext xmlns:x14="http://schemas.microsoft.com/office/spreadsheetml/2009/9/main" uri="{725AE2AE-9491-48be-B2B4-4EB974FC3084}">
      <x14:pivotCacheDefinition pivotCacheId="1775586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n v="885"/>
    <n v="568"/>
    <x v="0"/>
    <n v="57471"/>
    <n v="48840"/>
    <n v="-0.15018009082841782"/>
    <n v="7.15"/>
    <n v="-0.31"/>
    <n v="197"/>
    <n v="61"/>
  </r>
  <r>
    <x v="1"/>
    <x v="1"/>
    <x v="1"/>
    <x v="0"/>
    <n v="4223"/>
    <n v="3905"/>
    <x v="1"/>
    <n v="87879"/>
    <n v="80506"/>
    <n v="-8.3899452656493581E-2"/>
    <n v="7.79"/>
    <n v="0.53"/>
    <n v="41"/>
    <n v="62"/>
  </r>
  <r>
    <x v="2"/>
    <x v="2"/>
    <x v="2"/>
    <x v="1"/>
    <n v="1702"/>
    <n v="1393"/>
    <x v="2"/>
    <n v="78973"/>
    <n v="72752"/>
    <n v="-7.8773758119863757E-2"/>
    <n v="11.41"/>
    <n v="-1.32"/>
    <n v="172"/>
    <n v="100"/>
  </r>
  <r>
    <x v="3"/>
    <x v="0"/>
    <x v="1"/>
    <x v="1"/>
    <n v="3721"/>
    <n v="3671"/>
    <x v="3"/>
    <n v="59999"/>
    <n v="55405"/>
    <n v="-7.6567942799046648E-2"/>
    <n v="9.08"/>
    <n v="0.81"/>
    <n v="147"/>
    <n v="174"/>
  </r>
  <r>
    <x v="0"/>
    <x v="2"/>
    <x v="3"/>
    <x v="0"/>
    <n v="2455"/>
    <n v="2088"/>
    <x v="4"/>
    <n v="40127"/>
    <n v="33630"/>
    <n v="-0.16191093278839683"/>
    <n v="10.42"/>
    <n v="2.0099999999999998"/>
    <n v="37"/>
    <n v="74"/>
  </r>
  <r>
    <x v="0"/>
    <x v="3"/>
    <x v="1"/>
    <x v="0"/>
    <n v="4625"/>
    <n v="4339"/>
    <x v="5"/>
    <n v="85627"/>
    <n v="77735"/>
    <n v="-9.2167190255410092E-2"/>
    <n v="6.56"/>
    <n v="-2.8"/>
    <n v="179"/>
    <n v="76"/>
  </r>
  <r>
    <x v="2"/>
    <x v="1"/>
    <x v="1"/>
    <x v="0"/>
    <n v="1610"/>
    <n v="1221"/>
    <x v="6"/>
    <n v="90521"/>
    <n v="80906"/>
    <n v="-0.10621844654831475"/>
    <n v="9.57"/>
    <n v="-2.92"/>
    <n v="50"/>
    <n v="136"/>
  </r>
  <r>
    <x v="3"/>
    <x v="1"/>
    <x v="4"/>
    <x v="1"/>
    <n v="4898"/>
    <n v="4418"/>
    <x v="7"/>
    <n v="60180"/>
    <n v="52831"/>
    <n v="-0.12211698238617481"/>
    <n v="5.33"/>
    <n v="1.56"/>
    <n v="271"/>
    <n v="14"/>
  </r>
  <r>
    <x v="0"/>
    <x v="0"/>
    <x v="3"/>
    <x v="1"/>
    <n v="3260"/>
    <n v="2763"/>
    <x v="8"/>
    <n v="89556"/>
    <n v="87513"/>
    <n v="-2.2812541873241325E-2"/>
    <n v="4.5599999999999996"/>
    <n v="-1.83"/>
    <n v="135"/>
    <n v="71"/>
  </r>
  <r>
    <x v="3"/>
    <x v="0"/>
    <x v="3"/>
    <x v="2"/>
    <n v="4829"/>
    <n v="4479"/>
    <x v="9"/>
    <n v="50453"/>
    <n v="48612"/>
    <n v="-3.6489405981804848E-2"/>
    <n v="8.5500000000000007"/>
    <n v="2.5299999999999998"/>
    <n v="52"/>
    <n v="127"/>
  </r>
  <r>
    <x v="3"/>
    <x v="0"/>
    <x v="0"/>
    <x v="2"/>
    <n v="2230"/>
    <n v="1870"/>
    <x v="10"/>
    <n v="75007"/>
    <n v="66757"/>
    <n v="-0.10998973429146613"/>
    <n v="10.24"/>
    <n v="2.35"/>
    <n v="97"/>
    <n v="93"/>
  </r>
  <r>
    <x v="3"/>
    <x v="0"/>
    <x v="0"/>
    <x v="1"/>
    <n v="2160"/>
    <n v="1964"/>
    <x v="11"/>
    <n v="53081"/>
    <n v="47668"/>
    <n v="-0.10197622501460032"/>
    <n v="6.15"/>
    <n v="-2.33"/>
    <n v="46"/>
    <n v="50"/>
  </r>
  <r>
    <x v="0"/>
    <x v="0"/>
    <x v="3"/>
    <x v="0"/>
    <n v="806"/>
    <n v="750"/>
    <x v="12"/>
    <n v="90141"/>
    <n v="83340"/>
    <n v="-7.5448464072952373E-2"/>
    <n v="5.59"/>
    <n v="-3.54"/>
    <n v="276"/>
    <n v="60"/>
  </r>
  <r>
    <x v="0"/>
    <x v="2"/>
    <x v="4"/>
    <x v="0"/>
    <n v="4888"/>
    <n v="4764"/>
    <x v="13"/>
    <n v="54949"/>
    <n v="46126"/>
    <n v="-0.1605670712842818"/>
    <n v="9.91"/>
    <n v="-2.5099999999999998"/>
    <n v="251"/>
    <n v="129"/>
  </r>
  <r>
    <x v="0"/>
    <x v="2"/>
    <x v="3"/>
    <x v="2"/>
    <n v="4719"/>
    <n v="4329"/>
    <x v="14"/>
    <n v="31509"/>
    <n v="26905"/>
    <n v="-0.14611698244945889"/>
    <n v="7.59"/>
    <n v="-0.35"/>
    <n v="187"/>
    <n v="180"/>
  </r>
  <r>
    <x v="1"/>
    <x v="2"/>
    <x v="4"/>
    <x v="0"/>
    <n v="1456"/>
    <n v="1122"/>
    <x v="15"/>
    <n v="45807"/>
    <n v="37372"/>
    <n v="-0.1841421616783461"/>
    <n v="4.04"/>
    <n v="-2.96"/>
    <n v="59"/>
    <n v="79"/>
  </r>
  <r>
    <x v="2"/>
    <x v="3"/>
    <x v="4"/>
    <x v="2"/>
    <n v="3381"/>
    <n v="2959"/>
    <x v="16"/>
    <n v="40967"/>
    <n v="31074"/>
    <n v="-0.24148705055288402"/>
    <n v="7.21"/>
    <n v="-4.43"/>
    <n v="238"/>
    <n v="128"/>
  </r>
  <r>
    <x v="1"/>
    <x v="2"/>
    <x v="3"/>
    <x v="0"/>
    <n v="509"/>
    <n v="326"/>
    <x v="17"/>
    <n v="92759"/>
    <n v="90413"/>
    <n v="-2.5291346392263825E-2"/>
    <n v="11.38"/>
    <n v="-3.24"/>
    <n v="187"/>
    <n v="72"/>
  </r>
  <r>
    <x v="1"/>
    <x v="3"/>
    <x v="1"/>
    <x v="1"/>
    <n v="1976"/>
    <n v="1580"/>
    <x v="18"/>
    <n v="72412"/>
    <n v="65954"/>
    <n v="-8.9184113130420378E-2"/>
    <n v="6.16"/>
    <n v="-4.12"/>
    <n v="189"/>
    <n v="158"/>
  </r>
  <r>
    <x v="3"/>
    <x v="3"/>
    <x v="3"/>
    <x v="0"/>
    <n v="3154"/>
    <n v="2912"/>
    <x v="19"/>
    <n v="64072"/>
    <n v="62875"/>
    <n v="-1.8682107628917467E-2"/>
    <n v="10.77"/>
    <n v="0.55000000000000004"/>
    <n v="248"/>
    <n v="87"/>
  </r>
  <r>
    <x v="3"/>
    <x v="0"/>
    <x v="2"/>
    <x v="2"/>
    <n v="4470"/>
    <n v="4119"/>
    <x v="20"/>
    <n v="99153"/>
    <n v="89948"/>
    <n v="-9.283632366141216E-2"/>
    <n v="7.26"/>
    <n v="-3.38"/>
    <n v="96"/>
    <n v="199"/>
  </r>
  <r>
    <x v="1"/>
    <x v="1"/>
    <x v="2"/>
    <x v="2"/>
    <n v="2049"/>
    <n v="1968"/>
    <x v="21"/>
    <n v="46182"/>
    <n v="39840"/>
    <n v="-0.13732623099909055"/>
    <n v="7.87"/>
    <n v="1.45"/>
    <n v="195"/>
    <n v="115"/>
  </r>
  <r>
    <x v="3"/>
    <x v="2"/>
    <x v="2"/>
    <x v="1"/>
    <n v="2076"/>
    <n v="1820"/>
    <x v="22"/>
    <n v="64389"/>
    <n v="56878"/>
    <n v="-0.11665035953346069"/>
    <n v="8.77"/>
    <n v="-0.04"/>
    <n v="257"/>
    <n v="85"/>
  </r>
  <r>
    <x v="0"/>
    <x v="2"/>
    <x v="1"/>
    <x v="1"/>
    <n v="1658"/>
    <n v="1577"/>
    <x v="23"/>
    <n v="96021"/>
    <n v="86827"/>
    <n v="-9.5749888045323417E-2"/>
    <n v="5.47"/>
    <n v="0.43"/>
    <n v="256"/>
    <n v="166"/>
  </r>
  <r>
    <x v="2"/>
    <x v="1"/>
    <x v="1"/>
    <x v="2"/>
    <n v="1215"/>
    <n v="1147"/>
    <x v="24"/>
    <n v="79151"/>
    <n v="73584"/>
    <n v="-7.0333918712334645E-2"/>
    <n v="7.27"/>
    <n v="2.67"/>
    <n v="149"/>
    <n v="57"/>
  </r>
  <r>
    <x v="1"/>
    <x v="0"/>
    <x v="1"/>
    <x v="1"/>
    <n v="583"/>
    <n v="118"/>
    <x v="25"/>
    <n v="43327"/>
    <n v="39903"/>
    <n v="-7.9026934705841628E-2"/>
    <n v="9.25"/>
    <n v="-2.5299999999999998"/>
    <n v="72"/>
    <n v="36"/>
  </r>
  <r>
    <x v="0"/>
    <x v="2"/>
    <x v="1"/>
    <x v="2"/>
    <n v="4486"/>
    <n v="4269"/>
    <x v="26"/>
    <n v="39346"/>
    <n v="33964"/>
    <n v="-0.13678645859807859"/>
    <n v="4.7699999999999996"/>
    <n v="-0.42"/>
    <n v="218"/>
    <n v="98"/>
  </r>
  <r>
    <x v="0"/>
    <x v="2"/>
    <x v="3"/>
    <x v="2"/>
    <n v="2824"/>
    <n v="2750"/>
    <x v="27"/>
    <n v="99501"/>
    <n v="98286"/>
    <n v="-1.2210932553441673E-2"/>
    <n v="11.51"/>
    <n v="-3.25"/>
    <n v="233"/>
    <n v="54"/>
  </r>
  <r>
    <x v="0"/>
    <x v="2"/>
    <x v="2"/>
    <x v="0"/>
    <n v="2224"/>
    <n v="1768"/>
    <x v="28"/>
    <n v="93608"/>
    <n v="89139"/>
    <n v="-4.7741646013161269E-2"/>
    <n v="11.56"/>
    <n v="-3.74"/>
    <n v="273"/>
    <n v="40"/>
  </r>
  <r>
    <x v="0"/>
    <x v="2"/>
    <x v="0"/>
    <x v="0"/>
    <n v="605"/>
    <n v="283"/>
    <x v="29"/>
    <n v="63696"/>
    <n v="57169"/>
    <n v="-0.10247111278573223"/>
    <n v="5.01"/>
    <n v="-1.48"/>
    <n v="186"/>
    <n v="16"/>
  </r>
  <r>
    <x v="3"/>
    <x v="3"/>
    <x v="0"/>
    <x v="0"/>
    <n v="573"/>
    <n v="82"/>
    <x v="30"/>
    <n v="36573"/>
    <n v="27836"/>
    <n v="-0.23889207885598665"/>
    <n v="8.86"/>
    <n v="-3.16"/>
    <n v="127"/>
    <n v="72"/>
  </r>
  <r>
    <x v="0"/>
    <x v="1"/>
    <x v="0"/>
    <x v="0"/>
    <n v="4473"/>
    <n v="4215"/>
    <x v="31"/>
    <n v="50898"/>
    <n v="46103"/>
    <n v="-9.420802389091909E-2"/>
    <n v="10.28"/>
    <n v="2.44"/>
    <n v="171"/>
    <n v="74"/>
  </r>
  <r>
    <x v="2"/>
    <x v="0"/>
    <x v="3"/>
    <x v="0"/>
    <n v="1192"/>
    <n v="962"/>
    <x v="32"/>
    <n v="32910"/>
    <n v="25690"/>
    <n v="-0.21938620480097235"/>
    <n v="11.11"/>
    <n v="-1.1200000000000001"/>
    <n v="35"/>
    <n v="113"/>
  </r>
  <r>
    <x v="1"/>
    <x v="1"/>
    <x v="4"/>
    <x v="0"/>
    <n v="832"/>
    <n v="605"/>
    <x v="33"/>
    <n v="36450"/>
    <n v="32733"/>
    <n v="-0.10197530864197531"/>
    <n v="7.16"/>
    <n v="0.33"/>
    <n v="84"/>
    <n v="37"/>
  </r>
  <r>
    <x v="3"/>
    <x v="1"/>
    <x v="0"/>
    <x v="2"/>
    <n v="3429"/>
    <n v="3083"/>
    <x v="34"/>
    <n v="37909"/>
    <n v="32637"/>
    <n v="-0.13906987786541455"/>
    <n v="7.82"/>
    <n v="0.25"/>
    <n v="135"/>
    <n v="67"/>
  </r>
  <r>
    <x v="0"/>
    <x v="2"/>
    <x v="2"/>
    <x v="1"/>
    <n v="1279"/>
    <n v="1054"/>
    <x v="35"/>
    <n v="61575"/>
    <n v="57316"/>
    <n v="-6.916768168899716E-2"/>
    <n v="10.45"/>
    <n v="-3.24"/>
    <n v="136"/>
    <n v="58"/>
  </r>
  <r>
    <x v="2"/>
    <x v="2"/>
    <x v="1"/>
    <x v="0"/>
    <n v="1543"/>
    <n v="1435"/>
    <x v="36"/>
    <n v="35601"/>
    <n v="30861"/>
    <n v="-0.13314232746271173"/>
    <n v="6.33"/>
    <n v="-3.91"/>
    <n v="201"/>
    <n v="145"/>
  </r>
  <r>
    <x v="3"/>
    <x v="1"/>
    <x v="3"/>
    <x v="2"/>
    <n v="1856"/>
    <n v="1728"/>
    <x v="37"/>
    <n v="94554"/>
    <n v="87971"/>
    <n v="-6.9621591894578755E-2"/>
    <n v="11.11"/>
    <n v="2.09"/>
    <n v="195"/>
    <n v="87"/>
  </r>
  <r>
    <x v="0"/>
    <x v="0"/>
    <x v="4"/>
    <x v="0"/>
    <n v="2621"/>
    <n v="2178"/>
    <x v="38"/>
    <n v="45648"/>
    <n v="42449"/>
    <n v="-7.0079740623904666E-2"/>
    <n v="4.87"/>
    <n v="-1.46"/>
    <n v="30"/>
    <n v="104"/>
  </r>
  <r>
    <x v="2"/>
    <x v="1"/>
    <x v="0"/>
    <x v="1"/>
    <n v="4919"/>
    <n v="4808"/>
    <x v="39"/>
    <n v="88761"/>
    <n v="85400"/>
    <n v="-3.7865729318056353E-2"/>
    <n v="6.22"/>
    <n v="1.78"/>
    <n v="165"/>
    <n v="99"/>
  </r>
  <r>
    <x v="2"/>
    <x v="2"/>
    <x v="1"/>
    <x v="1"/>
    <n v="987"/>
    <n v="600"/>
    <x v="40"/>
    <n v="83110"/>
    <n v="75083"/>
    <n v="-9.6582842016604498E-2"/>
    <n v="7.98"/>
    <n v="-2.68"/>
    <n v="56"/>
    <n v="95"/>
  </r>
  <r>
    <x v="1"/>
    <x v="0"/>
    <x v="1"/>
    <x v="2"/>
    <n v="4759"/>
    <n v="4651"/>
    <x v="41"/>
    <n v="42204"/>
    <n v="32505"/>
    <n v="-0.2298123400625533"/>
    <n v="5.48"/>
    <n v="2.37"/>
    <n v="143"/>
    <n v="43"/>
  </r>
  <r>
    <x v="3"/>
    <x v="0"/>
    <x v="2"/>
    <x v="2"/>
    <n v="4907"/>
    <n v="4599"/>
    <x v="42"/>
    <n v="94038"/>
    <n v="84232"/>
    <n v="-0.10427699440651651"/>
    <n v="11.64"/>
    <n v="0.98"/>
    <n v="218"/>
    <n v="109"/>
  </r>
  <r>
    <x v="2"/>
    <x v="1"/>
    <x v="0"/>
    <x v="1"/>
    <n v="1661"/>
    <n v="1267"/>
    <x v="43"/>
    <n v="49319"/>
    <n v="40725"/>
    <n v="-0.17425333035949633"/>
    <n v="9.84"/>
    <n v="1.33"/>
    <n v="216"/>
    <n v="169"/>
  </r>
  <r>
    <x v="1"/>
    <x v="2"/>
    <x v="0"/>
    <x v="0"/>
    <n v="1337"/>
    <n v="982"/>
    <x v="44"/>
    <n v="70262"/>
    <n v="63577"/>
    <n v="-9.5143890011670604E-2"/>
    <n v="4.37"/>
    <n v="0.66"/>
    <n v="246"/>
    <n v="7"/>
  </r>
  <r>
    <x v="0"/>
    <x v="1"/>
    <x v="2"/>
    <x v="1"/>
    <n v="3927"/>
    <n v="3773"/>
    <x v="45"/>
    <n v="97653"/>
    <n v="88748"/>
    <n v="-9.1190234811014514E-2"/>
    <n v="11.82"/>
    <n v="-0.65"/>
    <n v="12"/>
    <n v="195"/>
  </r>
  <r>
    <x v="0"/>
    <x v="0"/>
    <x v="0"/>
    <x v="2"/>
    <n v="4040"/>
    <n v="3665"/>
    <x v="46"/>
    <n v="35272"/>
    <n v="29691"/>
    <n v="-0.158227489226582"/>
    <n v="5.71"/>
    <n v="-4.8"/>
    <n v="49"/>
    <n v="17"/>
  </r>
  <r>
    <x v="2"/>
    <x v="2"/>
    <x v="1"/>
    <x v="0"/>
    <n v="2561"/>
    <n v="2457"/>
    <x v="47"/>
    <n v="80805"/>
    <n v="72924"/>
    <n v="-9.7531093372934849E-2"/>
    <n v="10.41"/>
    <n v="1"/>
    <n v="288"/>
    <n v="73"/>
  </r>
  <r>
    <x v="0"/>
    <x v="3"/>
    <x v="3"/>
    <x v="0"/>
    <n v="4839"/>
    <n v="4498"/>
    <x v="48"/>
    <n v="45173"/>
    <n v="36197"/>
    <n v="-0.19870276492595135"/>
    <n v="5.76"/>
    <n v="2.16"/>
    <n v="36"/>
    <n v="73"/>
  </r>
  <r>
    <x v="1"/>
    <x v="1"/>
    <x v="1"/>
    <x v="2"/>
    <n v="1741"/>
    <n v="1313"/>
    <x v="49"/>
    <n v="52054"/>
    <n v="50506"/>
    <n v="-2.9738348637952897E-2"/>
    <n v="10.71"/>
    <n v="1.76"/>
    <n v="128"/>
    <n v="95"/>
  </r>
  <r>
    <x v="2"/>
    <x v="0"/>
    <x v="3"/>
    <x v="1"/>
    <n v="3531"/>
    <n v="3221"/>
    <x v="50"/>
    <n v="70189"/>
    <n v="67922"/>
    <n v="-3.2298508313268463E-2"/>
    <n v="8.33"/>
    <n v="-1.07"/>
    <n v="85"/>
    <n v="150"/>
  </r>
  <r>
    <x v="1"/>
    <x v="1"/>
    <x v="2"/>
    <x v="1"/>
    <n v="4735"/>
    <n v="4495"/>
    <x v="51"/>
    <n v="41066"/>
    <n v="34835"/>
    <n v="-0.15173135927531292"/>
    <n v="10.79"/>
    <n v="-1.1000000000000001"/>
    <n v="108"/>
    <n v="48"/>
  </r>
  <r>
    <x v="3"/>
    <x v="2"/>
    <x v="2"/>
    <x v="0"/>
    <n v="764"/>
    <n v="267"/>
    <x v="52"/>
    <n v="48620"/>
    <n v="38842"/>
    <n v="-0.20111065405183051"/>
    <n v="8.66"/>
    <n v="-0.47"/>
    <n v="110"/>
    <n v="59"/>
  </r>
  <r>
    <x v="3"/>
    <x v="3"/>
    <x v="3"/>
    <x v="2"/>
    <n v="3649"/>
    <n v="3261"/>
    <x v="53"/>
    <n v="46054"/>
    <n v="36974"/>
    <n v="-0.19715985582142703"/>
    <n v="6.38"/>
    <n v="0.6"/>
    <n v="17"/>
    <n v="51"/>
  </r>
  <r>
    <x v="0"/>
    <x v="0"/>
    <x v="1"/>
    <x v="2"/>
    <n v="3310"/>
    <n v="2819"/>
    <x v="54"/>
    <n v="31089"/>
    <n v="29949"/>
    <n v="-3.6668918266911127E-2"/>
    <n v="10.48"/>
    <n v="-7.0000000000000007E-2"/>
    <n v="104"/>
    <n v="153"/>
  </r>
  <r>
    <x v="0"/>
    <x v="2"/>
    <x v="3"/>
    <x v="0"/>
    <n v="4286"/>
    <n v="4034"/>
    <x v="55"/>
    <n v="59848"/>
    <n v="55188"/>
    <n v="-7.786392193557011E-2"/>
    <n v="8.59"/>
    <n v="2.02"/>
    <n v="96"/>
    <n v="133"/>
  </r>
  <r>
    <x v="0"/>
    <x v="1"/>
    <x v="3"/>
    <x v="1"/>
    <n v="4557"/>
    <n v="4158"/>
    <x v="56"/>
    <n v="55617"/>
    <n v="47311"/>
    <n v="-0.14934282683352212"/>
    <n v="5.16"/>
    <n v="-2.36"/>
    <n v="281"/>
    <n v="10"/>
  </r>
  <r>
    <x v="1"/>
    <x v="3"/>
    <x v="0"/>
    <x v="1"/>
    <n v="2456"/>
    <n v="2047"/>
    <x v="57"/>
    <n v="92077"/>
    <n v="88404"/>
    <n v="-3.9890526407246107E-2"/>
    <n v="5.55"/>
    <n v="1.27"/>
    <n v="185"/>
    <n v="187"/>
  </r>
  <r>
    <x v="0"/>
    <x v="1"/>
    <x v="1"/>
    <x v="1"/>
    <n v="3206"/>
    <n v="3120"/>
    <x v="58"/>
    <n v="31085"/>
    <n v="26642"/>
    <n v="-0.1429306739585009"/>
    <n v="11.58"/>
    <n v="0.87"/>
    <n v="31"/>
    <n v="149"/>
  </r>
  <r>
    <x v="2"/>
    <x v="2"/>
    <x v="3"/>
    <x v="2"/>
    <n v="4904"/>
    <n v="4674"/>
    <x v="59"/>
    <n v="95735"/>
    <n v="86428"/>
    <n v="-9.7216274089935759E-2"/>
    <n v="10.48"/>
    <n v="-2.5299999999999998"/>
    <n v="281"/>
    <n v="197"/>
  </r>
  <r>
    <x v="2"/>
    <x v="2"/>
    <x v="4"/>
    <x v="0"/>
    <n v="2972"/>
    <n v="2788"/>
    <x v="60"/>
    <n v="71185"/>
    <n v="68541"/>
    <n v="-3.7142656458523562E-2"/>
    <n v="9.94"/>
    <n v="-2.19"/>
    <n v="93"/>
    <n v="149"/>
  </r>
  <r>
    <x v="1"/>
    <x v="0"/>
    <x v="0"/>
    <x v="1"/>
    <n v="3597"/>
    <n v="3504"/>
    <x v="61"/>
    <n v="58895"/>
    <n v="52447"/>
    <n v="-0.10948297818150947"/>
    <n v="10.29"/>
    <n v="-0.2"/>
    <n v="171"/>
    <n v="94"/>
  </r>
  <r>
    <x v="0"/>
    <x v="0"/>
    <x v="0"/>
    <x v="1"/>
    <n v="3065"/>
    <n v="2890"/>
    <x v="62"/>
    <n v="75649"/>
    <n v="72795"/>
    <n v="-3.7726870150299407E-2"/>
    <n v="8.32"/>
    <n v="-3.04"/>
    <n v="108"/>
    <n v="94"/>
  </r>
  <r>
    <x v="0"/>
    <x v="0"/>
    <x v="3"/>
    <x v="0"/>
    <n v="4462"/>
    <n v="4408"/>
    <x v="63"/>
    <n v="45867"/>
    <n v="39682"/>
    <n v="-0.13484640373253101"/>
    <n v="9.07"/>
    <n v="-0.02"/>
    <n v="231"/>
    <n v="10"/>
  </r>
  <r>
    <x v="0"/>
    <x v="2"/>
    <x v="3"/>
    <x v="2"/>
    <n v="3876"/>
    <n v="3531"/>
    <x v="64"/>
    <n v="70133"/>
    <n v="64466"/>
    <n v="-8.0803615986767996E-2"/>
    <n v="4.0999999999999996"/>
    <n v="-3.09"/>
    <n v="98"/>
    <n v="60"/>
  </r>
  <r>
    <x v="2"/>
    <x v="2"/>
    <x v="0"/>
    <x v="0"/>
    <n v="2214"/>
    <n v="1914"/>
    <x v="65"/>
    <n v="41188"/>
    <n v="35587"/>
    <n v="-0.13598620957560453"/>
    <n v="6.22"/>
    <n v="-1.4"/>
    <n v="95"/>
    <n v="162"/>
  </r>
  <r>
    <x v="0"/>
    <x v="2"/>
    <x v="3"/>
    <x v="1"/>
    <n v="4977"/>
    <n v="4544"/>
    <x v="66"/>
    <n v="64342"/>
    <n v="61450"/>
    <n v="-4.494731279723975E-2"/>
    <n v="7.64"/>
    <n v="-0.74"/>
    <n v="181"/>
    <n v="75"/>
  </r>
  <r>
    <x v="3"/>
    <x v="3"/>
    <x v="3"/>
    <x v="0"/>
    <n v="2148"/>
    <n v="1916"/>
    <x v="67"/>
    <n v="99492"/>
    <n v="97879"/>
    <n v="-1.6212358782615687E-2"/>
    <n v="5.93"/>
    <n v="-1.31"/>
    <n v="95"/>
    <n v="200"/>
  </r>
  <r>
    <x v="3"/>
    <x v="0"/>
    <x v="4"/>
    <x v="2"/>
    <n v="4931"/>
    <n v="4611"/>
    <x v="68"/>
    <n v="93004"/>
    <n v="89261"/>
    <n v="-4.0245580835232893E-2"/>
    <n v="11.06"/>
    <n v="-3.91"/>
    <n v="227"/>
    <n v="177"/>
  </r>
  <r>
    <x v="1"/>
    <x v="0"/>
    <x v="4"/>
    <x v="0"/>
    <n v="3771"/>
    <n v="3483"/>
    <x v="69"/>
    <n v="43245"/>
    <n v="42143"/>
    <n v="-2.5482714764712682E-2"/>
    <n v="7.84"/>
    <n v="0.51"/>
    <n v="138"/>
    <n v="77"/>
  </r>
  <r>
    <x v="1"/>
    <x v="3"/>
    <x v="2"/>
    <x v="1"/>
    <n v="1368"/>
    <n v="1314"/>
    <x v="70"/>
    <n v="89717"/>
    <n v="87819"/>
    <n v="-2.115541090317331E-2"/>
    <n v="8.35"/>
    <n v="-4.92"/>
    <n v="118"/>
    <n v="133"/>
  </r>
  <r>
    <x v="3"/>
    <x v="1"/>
    <x v="2"/>
    <x v="1"/>
    <n v="818"/>
    <n v="334"/>
    <x v="71"/>
    <n v="52279"/>
    <n v="49837"/>
    <n v="-4.6710916429158936E-2"/>
    <n v="4.55"/>
    <n v="0.53"/>
    <n v="82"/>
    <n v="100"/>
  </r>
  <r>
    <x v="3"/>
    <x v="3"/>
    <x v="0"/>
    <x v="2"/>
    <n v="1380"/>
    <n v="1296"/>
    <x v="72"/>
    <n v="65735"/>
    <n v="56519"/>
    <n v="-0.14019928500798662"/>
    <n v="4.58"/>
    <n v="-0.56000000000000005"/>
    <n v="183"/>
    <n v="36"/>
  </r>
  <r>
    <x v="3"/>
    <x v="2"/>
    <x v="2"/>
    <x v="0"/>
    <n v="1040"/>
    <n v="950"/>
    <x v="73"/>
    <n v="80160"/>
    <n v="72453"/>
    <n v="-9.6145209580838317E-2"/>
    <n v="6.28"/>
    <n v="1.71"/>
    <n v="41"/>
    <n v="7"/>
  </r>
  <r>
    <x v="3"/>
    <x v="1"/>
    <x v="4"/>
    <x v="2"/>
    <n v="3925"/>
    <n v="3744"/>
    <x v="74"/>
    <n v="50482"/>
    <n v="43241"/>
    <n v="-0.14343726476763996"/>
    <n v="6.2"/>
    <n v="2.93"/>
    <n v="70"/>
    <n v="75"/>
  </r>
  <r>
    <x v="1"/>
    <x v="1"/>
    <x v="3"/>
    <x v="2"/>
    <n v="3532"/>
    <n v="3154"/>
    <x v="75"/>
    <n v="69938"/>
    <n v="64322"/>
    <n v="-8.0299694014698733E-2"/>
    <n v="9.7100000000000009"/>
    <n v="0.91"/>
    <n v="29"/>
    <n v="98"/>
  </r>
  <r>
    <x v="0"/>
    <x v="0"/>
    <x v="2"/>
    <x v="2"/>
    <n v="3688"/>
    <n v="3399"/>
    <x v="76"/>
    <n v="54803"/>
    <n v="52574"/>
    <n v="-4.0672955860080649E-2"/>
    <n v="7.72"/>
    <n v="-0.2"/>
    <n v="162"/>
    <n v="102"/>
  </r>
  <r>
    <x v="3"/>
    <x v="3"/>
    <x v="4"/>
    <x v="0"/>
    <n v="3343"/>
    <n v="2958"/>
    <x v="77"/>
    <n v="41991"/>
    <n v="39513"/>
    <n v="-5.9012645566907197E-2"/>
    <n v="6.03"/>
    <n v="-4.9800000000000004"/>
    <n v="155"/>
    <n v="97"/>
  </r>
  <r>
    <x v="1"/>
    <x v="1"/>
    <x v="3"/>
    <x v="1"/>
    <n v="791"/>
    <n v="688"/>
    <x v="78"/>
    <n v="75625"/>
    <n v="74010"/>
    <n v="-2.1355371900826446E-2"/>
    <n v="9.27"/>
    <n v="-3.58"/>
    <n v="241"/>
    <n v="21"/>
  </r>
  <r>
    <x v="3"/>
    <x v="0"/>
    <x v="0"/>
    <x v="1"/>
    <n v="4918"/>
    <n v="4729"/>
    <x v="79"/>
    <n v="61196"/>
    <n v="58219"/>
    <n v="-4.8646970390221582E-2"/>
    <n v="7.83"/>
    <n v="0.09"/>
    <n v="166"/>
    <n v="183"/>
  </r>
  <r>
    <x v="3"/>
    <x v="2"/>
    <x v="3"/>
    <x v="1"/>
    <n v="2118"/>
    <n v="1894"/>
    <x v="80"/>
    <n v="60077"/>
    <n v="50524"/>
    <n v="-0.15901260049603008"/>
    <n v="8.23"/>
    <n v="1.52"/>
    <n v="169"/>
    <n v="17"/>
  </r>
  <r>
    <x v="2"/>
    <x v="1"/>
    <x v="0"/>
    <x v="0"/>
    <n v="2266"/>
    <n v="1867"/>
    <x v="81"/>
    <n v="54735"/>
    <n v="45353"/>
    <n v="-0.17140769160500594"/>
    <n v="4.9400000000000004"/>
    <n v="1.06"/>
    <n v="10"/>
    <n v="64"/>
  </r>
  <r>
    <x v="0"/>
    <x v="1"/>
    <x v="4"/>
    <x v="1"/>
    <n v="4030"/>
    <n v="3901"/>
    <x v="82"/>
    <n v="38243"/>
    <n v="30389"/>
    <n v="-0.2053709175535392"/>
    <n v="4.08"/>
    <n v="-2.23"/>
    <n v="298"/>
    <n v="120"/>
  </r>
  <r>
    <x v="3"/>
    <x v="0"/>
    <x v="3"/>
    <x v="0"/>
    <n v="1535"/>
    <n v="1061"/>
    <x v="83"/>
    <n v="40302"/>
    <n v="38952"/>
    <n v="-3.3497096918267084E-2"/>
    <n v="5.05"/>
    <n v="-1.33"/>
    <n v="104"/>
    <n v="24"/>
  </r>
  <r>
    <x v="3"/>
    <x v="0"/>
    <x v="3"/>
    <x v="0"/>
    <n v="2780"/>
    <n v="2360"/>
    <x v="84"/>
    <n v="75927"/>
    <n v="69325"/>
    <n v="-8.695194067986356E-2"/>
    <n v="6.09"/>
    <n v="-2.7"/>
    <n v="115"/>
    <n v="144"/>
  </r>
  <r>
    <x v="0"/>
    <x v="1"/>
    <x v="2"/>
    <x v="1"/>
    <n v="2671"/>
    <n v="2270"/>
    <x v="85"/>
    <n v="49897"/>
    <n v="48182"/>
    <n v="-3.4370803855943245E-2"/>
    <n v="10.210000000000001"/>
    <n v="-2.06"/>
    <n v="163"/>
    <n v="21"/>
  </r>
  <r>
    <x v="3"/>
    <x v="0"/>
    <x v="3"/>
    <x v="0"/>
    <n v="929"/>
    <n v="647"/>
    <x v="86"/>
    <n v="71004"/>
    <n v="61379"/>
    <n v="-0.13555574333840348"/>
    <n v="10.88"/>
    <n v="-2.52"/>
    <n v="222"/>
    <n v="184"/>
  </r>
  <r>
    <x v="2"/>
    <x v="2"/>
    <x v="3"/>
    <x v="2"/>
    <n v="2618"/>
    <n v="2507"/>
    <x v="87"/>
    <n v="66598"/>
    <n v="61246"/>
    <n v="-8.0362773656866573E-2"/>
    <n v="9.34"/>
    <n v="2.2400000000000002"/>
    <n v="232"/>
    <n v="157"/>
  </r>
  <r>
    <x v="2"/>
    <x v="2"/>
    <x v="0"/>
    <x v="1"/>
    <n v="583"/>
    <n v="472"/>
    <x v="88"/>
    <n v="31873"/>
    <n v="28238"/>
    <n v="-0.11404637153703762"/>
    <n v="8.42"/>
    <n v="-1.9"/>
    <n v="12"/>
    <n v="45"/>
  </r>
  <r>
    <x v="0"/>
    <x v="1"/>
    <x v="2"/>
    <x v="2"/>
    <n v="997"/>
    <n v="574"/>
    <x v="89"/>
    <n v="97357"/>
    <n v="87500"/>
    <n v="-0.10124592992799696"/>
    <n v="5.65"/>
    <n v="-0.78"/>
    <n v="176"/>
    <n v="33"/>
  </r>
  <r>
    <x v="2"/>
    <x v="1"/>
    <x v="1"/>
    <x v="0"/>
    <n v="3780"/>
    <n v="3637"/>
    <x v="90"/>
    <n v="83871"/>
    <n v="78701"/>
    <n v="-6.1642283983736931E-2"/>
    <n v="6.02"/>
    <n v="2.0099999999999998"/>
    <n v="42"/>
    <n v="15"/>
  </r>
  <r>
    <x v="1"/>
    <x v="0"/>
    <x v="4"/>
    <x v="2"/>
    <n v="4955"/>
    <n v="4800"/>
    <x v="91"/>
    <n v="30527"/>
    <n v="22634"/>
    <n v="-0.2585579978379795"/>
    <n v="5.95"/>
    <n v="-4.68"/>
    <n v="274"/>
    <n v="166"/>
  </r>
  <r>
    <x v="2"/>
    <x v="1"/>
    <x v="0"/>
    <x v="0"/>
    <n v="2230"/>
    <n v="1751"/>
    <x v="92"/>
    <n v="41439"/>
    <n v="35763"/>
    <n v="-0.13697241728806198"/>
    <n v="9.86"/>
    <n v="-2.31"/>
    <n v="253"/>
    <n v="72"/>
  </r>
  <r>
    <x v="3"/>
    <x v="1"/>
    <x v="0"/>
    <x v="0"/>
    <n v="2614"/>
    <n v="2336"/>
    <x v="93"/>
    <n v="63645"/>
    <n v="57182"/>
    <n v="-0.10154764710503575"/>
    <n v="9.5299999999999994"/>
    <n v="0.43"/>
    <n v="99"/>
    <n v="199"/>
  </r>
  <r>
    <x v="1"/>
    <x v="1"/>
    <x v="3"/>
    <x v="1"/>
    <n v="2489"/>
    <n v="2220"/>
    <x v="94"/>
    <n v="68711"/>
    <n v="59901"/>
    <n v="-0.12821818922734352"/>
    <n v="11.82"/>
    <n v="0.89"/>
    <n v="61"/>
    <n v="72"/>
  </r>
  <r>
    <x v="3"/>
    <x v="0"/>
    <x v="4"/>
    <x v="0"/>
    <n v="3765"/>
    <n v="3702"/>
    <x v="95"/>
    <n v="36585"/>
    <n v="30481"/>
    <n v="-0.16684433511001776"/>
    <n v="8.8699999999999992"/>
    <n v="-1.07"/>
    <n v="198"/>
    <n v="31"/>
  </r>
  <r>
    <x v="2"/>
    <x v="0"/>
    <x v="3"/>
    <x v="2"/>
    <n v="3689"/>
    <n v="3235"/>
    <x v="96"/>
    <n v="61882"/>
    <n v="57469"/>
    <n v="-7.1313144371545845E-2"/>
    <n v="11.42"/>
    <n v="-1.82"/>
    <n v="75"/>
    <n v="100"/>
  </r>
  <r>
    <x v="0"/>
    <x v="0"/>
    <x v="3"/>
    <x v="1"/>
    <n v="2265"/>
    <n v="1884"/>
    <x v="97"/>
    <n v="46556"/>
    <n v="44058"/>
    <n v="-5.3655812355013315E-2"/>
    <n v="10.67"/>
    <n v="-0.54"/>
    <n v="289"/>
    <n v="150"/>
  </r>
  <r>
    <x v="1"/>
    <x v="0"/>
    <x v="2"/>
    <x v="1"/>
    <n v="1436"/>
    <n v="1334"/>
    <x v="98"/>
    <n v="42011"/>
    <n v="37936"/>
    <n v="-9.699840517959582E-2"/>
    <n v="8.7899999999999991"/>
    <n v="-3.19"/>
    <n v="35"/>
    <n v="192"/>
  </r>
  <r>
    <x v="2"/>
    <x v="2"/>
    <x v="2"/>
    <x v="0"/>
    <n v="2616"/>
    <n v="2404"/>
    <x v="99"/>
    <n v="80529"/>
    <n v="71446"/>
    <n v="-0.11279166511443083"/>
    <n v="7.38"/>
    <n v="-0.12"/>
    <n v="29"/>
    <n v="54"/>
  </r>
  <r>
    <x v="1"/>
    <x v="1"/>
    <x v="4"/>
    <x v="1"/>
    <n v="1226"/>
    <n v="902"/>
    <x v="100"/>
    <n v="42732"/>
    <n v="41333"/>
    <n v="-3.2738931011888045E-2"/>
    <n v="6.39"/>
    <n v="2.29"/>
    <n v="58"/>
    <n v="48"/>
  </r>
  <r>
    <x v="1"/>
    <x v="0"/>
    <x v="4"/>
    <x v="2"/>
    <n v="4035"/>
    <n v="3797"/>
    <x v="101"/>
    <n v="61458"/>
    <n v="60218"/>
    <n v="-2.0176380617657589E-2"/>
    <n v="8.82"/>
    <n v="0.59"/>
    <n v="127"/>
    <n v="80"/>
  </r>
  <r>
    <x v="1"/>
    <x v="0"/>
    <x v="3"/>
    <x v="1"/>
    <n v="2382"/>
    <n v="1919"/>
    <x v="102"/>
    <n v="69436"/>
    <n v="66476"/>
    <n v="-4.2629183708738985E-2"/>
    <n v="4.88"/>
    <n v="2.37"/>
    <n v="104"/>
    <n v="126"/>
  </r>
  <r>
    <x v="3"/>
    <x v="0"/>
    <x v="3"/>
    <x v="0"/>
    <n v="4187"/>
    <n v="4115"/>
    <x v="103"/>
    <n v="92334"/>
    <n v="84411"/>
    <n v="-8.5808044707258432E-2"/>
    <n v="9.3000000000000007"/>
    <n v="-7.0000000000000007E-2"/>
    <n v="38"/>
    <n v="158"/>
  </r>
  <r>
    <x v="0"/>
    <x v="3"/>
    <x v="2"/>
    <x v="2"/>
    <n v="616"/>
    <n v="486"/>
    <x v="104"/>
    <n v="99209"/>
    <n v="91272"/>
    <n v="-8.0002822324587483E-2"/>
    <n v="8.35"/>
    <n v="-2.91"/>
    <n v="54"/>
    <n v="187"/>
  </r>
  <r>
    <x v="2"/>
    <x v="1"/>
    <x v="1"/>
    <x v="1"/>
    <n v="2749"/>
    <n v="2547"/>
    <x v="105"/>
    <n v="91589"/>
    <n v="90303"/>
    <n v="-1.4040987454825361E-2"/>
    <n v="5.97"/>
    <n v="-1.8"/>
    <n v="155"/>
    <n v="69"/>
  </r>
  <r>
    <x v="0"/>
    <x v="1"/>
    <x v="0"/>
    <x v="0"/>
    <n v="1015"/>
    <n v="806"/>
    <x v="106"/>
    <n v="84734"/>
    <n v="78831"/>
    <n v="-6.966506951164822E-2"/>
    <n v="4.1399999999999997"/>
    <n v="1.1299999999999999"/>
    <n v="154"/>
    <n v="79"/>
  </r>
  <r>
    <x v="0"/>
    <x v="3"/>
    <x v="2"/>
    <x v="1"/>
    <n v="3129"/>
    <n v="2963"/>
    <x v="107"/>
    <n v="86483"/>
    <n v="83155"/>
    <n v="-3.8481551287536282E-2"/>
    <n v="10.6"/>
    <n v="-1.34"/>
    <n v="50"/>
    <n v="29"/>
  </r>
  <r>
    <x v="2"/>
    <x v="0"/>
    <x v="0"/>
    <x v="0"/>
    <n v="3153"/>
    <n v="3046"/>
    <x v="108"/>
    <n v="92253"/>
    <n v="90600"/>
    <n v="-1.7918116484016779E-2"/>
    <n v="10.45"/>
    <n v="-3.62"/>
    <n v="71"/>
    <n v="5"/>
  </r>
  <r>
    <x v="0"/>
    <x v="0"/>
    <x v="4"/>
    <x v="2"/>
    <n v="3823"/>
    <n v="3490"/>
    <x v="109"/>
    <n v="91719"/>
    <n v="84191"/>
    <n v="-8.2076777984932237E-2"/>
    <n v="11.3"/>
    <n v="-3.75"/>
    <n v="50"/>
    <n v="115"/>
  </r>
  <r>
    <x v="3"/>
    <x v="3"/>
    <x v="4"/>
    <x v="2"/>
    <n v="4832"/>
    <n v="4396"/>
    <x v="110"/>
    <n v="95879"/>
    <n v="86152"/>
    <n v="-0.10145078692935888"/>
    <n v="11.89"/>
    <n v="-2.85"/>
    <n v="278"/>
    <n v="103"/>
  </r>
  <r>
    <x v="1"/>
    <x v="1"/>
    <x v="3"/>
    <x v="0"/>
    <n v="2536"/>
    <n v="2430"/>
    <x v="111"/>
    <n v="52493"/>
    <n v="44101"/>
    <n v="-0.15986893490560647"/>
    <n v="9.36"/>
    <n v="-4.72"/>
    <n v="45"/>
    <n v="82"/>
  </r>
  <r>
    <x v="1"/>
    <x v="1"/>
    <x v="3"/>
    <x v="1"/>
    <n v="3873"/>
    <n v="3544"/>
    <x v="112"/>
    <n v="52976"/>
    <n v="46574"/>
    <n v="-0.12084717607973422"/>
    <n v="9.27"/>
    <n v="-3.36"/>
    <n v="62"/>
    <n v="19"/>
  </r>
  <r>
    <x v="1"/>
    <x v="2"/>
    <x v="2"/>
    <x v="0"/>
    <n v="717"/>
    <n v="574"/>
    <x v="113"/>
    <n v="37963"/>
    <n v="29160"/>
    <n v="-0.23188367621104761"/>
    <n v="6.12"/>
    <n v="0.74"/>
    <n v="58"/>
    <n v="197"/>
  </r>
  <r>
    <x v="3"/>
    <x v="0"/>
    <x v="3"/>
    <x v="1"/>
    <n v="2605"/>
    <n v="2530"/>
    <x v="114"/>
    <n v="72213"/>
    <n v="63119"/>
    <n v="-0.1259330037527869"/>
    <n v="6.21"/>
    <n v="-0.28999999999999998"/>
    <n v="33"/>
    <n v="151"/>
  </r>
  <r>
    <x v="3"/>
    <x v="3"/>
    <x v="2"/>
    <x v="1"/>
    <n v="1178"/>
    <n v="1116"/>
    <x v="115"/>
    <n v="79478"/>
    <n v="70727"/>
    <n v="-0.11010594126676565"/>
    <n v="7.28"/>
    <n v="0.57999999999999996"/>
    <n v="239"/>
    <n v="60"/>
  </r>
  <r>
    <x v="0"/>
    <x v="0"/>
    <x v="0"/>
    <x v="0"/>
    <n v="870"/>
    <n v="683"/>
    <x v="116"/>
    <n v="84889"/>
    <n v="83311"/>
    <n v="-1.8588980904475257E-2"/>
    <n v="10.66"/>
    <n v="-3.96"/>
    <n v="162"/>
    <n v="8"/>
  </r>
  <r>
    <x v="0"/>
    <x v="1"/>
    <x v="0"/>
    <x v="2"/>
    <n v="1806"/>
    <n v="1742"/>
    <x v="117"/>
    <n v="47416"/>
    <n v="40268"/>
    <n v="-0.15075080141724312"/>
    <n v="7.64"/>
    <n v="1.85"/>
    <n v="207"/>
    <n v="109"/>
  </r>
  <r>
    <x v="2"/>
    <x v="1"/>
    <x v="0"/>
    <x v="0"/>
    <n v="709"/>
    <n v="565"/>
    <x v="118"/>
    <n v="88141"/>
    <n v="85764"/>
    <n v="-2.6968153299826415E-2"/>
    <n v="5.32"/>
    <n v="-1.8"/>
    <n v="11"/>
    <n v="190"/>
  </r>
  <r>
    <x v="1"/>
    <x v="1"/>
    <x v="1"/>
    <x v="2"/>
    <n v="601"/>
    <n v="260"/>
    <x v="119"/>
    <n v="49346"/>
    <n v="47639"/>
    <n v="-3.4592469501074051E-2"/>
    <n v="7.04"/>
    <n v="-3.73"/>
    <n v="233"/>
    <n v="166"/>
  </r>
  <r>
    <x v="1"/>
    <x v="2"/>
    <x v="3"/>
    <x v="2"/>
    <n v="3515"/>
    <n v="3317"/>
    <x v="120"/>
    <n v="37030"/>
    <n v="33989"/>
    <n v="-8.2122603294625979E-2"/>
    <n v="5.05"/>
    <n v="-0.22"/>
    <n v="49"/>
    <n v="78"/>
  </r>
  <r>
    <x v="1"/>
    <x v="1"/>
    <x v="2"/>
    <x v="2"/>
    <n v="2052"/>
    <n v="1609"/>
    <x v="121"/>
    <n v="42754"/>
    <n v="35556"/>
    <n v="-0.16835851616223044"/>
    <n v="9.77"/>
    <n v="0.13"/>
    <n v="168"/>
    <n v="27"/>
  </r>
  <r>
    <x v="0"/>
    <x v="0"/>
    <x v="1"/>
    <x v="0"/>
    <n v="3083"/>
    <n v="2859"/>
    <x v="122"/>
    <n v="37566"/>
    <n v="28126"/>
    <n v="-0.25129106106585741"/>
    <n v="5.1100000000000003"/>
    <n v="0.28000000000000003"/>
    <n v="79"/>
    <n v="102"/>
  </r>
  <r>
    <x v="2"/>
    <x v="1"/>
    <x v="2"/>
    <x v="0"/>
    <n v="4302"/>
    <n v="3941"/>
    <x v="123"/>
    <n v="90132"/>
    <n v="87090"/>
    <n v="-3.3750499267740645E-2"/>
    <n v="7.53"/>
    <n v="-4.67"/>
    <n v="58"/>
    <n v="20"/>
  </r>
  <r>
    <x v="3"/>
    <x v="3"/>
    <x v="1"/>
    <x v="0"/>
    <n v="3668"/>
    <n v="3253"/>
    <x v="124"/>
    <n v="73589"/>
    <n v="63605"/>
    <n v="-0.13567245104567258"/>
    <n v="4.67"/>
    <n v="-4.63"/>
    <n v="170"/>
    <n v="94"/>
  </r>
  <r>
    <x v="1"/>
    <x v="0"/>
    <x v="0"/>
    <x v="0"/>
    <n v="3549"/>
    <n v="3424"/>
    <x v="125"/>
    <n v="82805"/>
    <n v="75078"/>
    <n v="-9.3315621037376964E-2"/>
    <n v="10.33"/>
    <n v="-3.03"/>
    <n v="198"/>
    <n v="167"/>
  </r>
  <r>
    <x v="1"/>
    <x v="1"/>
    <x v="4"/>
    <x v="2"/>
    <n v="4995"/>
    <n v="4590"/>
    <x v="126"/>
    <n v="42088"/>
    <n v="36678"/>
    <n v="-0.12854020148260786"/>
    <n v="9.7200000000000006"/>
    <n v="-1.53"/>
    <n v="26"/>
    <n v="54"/>
  </r>
  <r>
    <x v="1"/>
    <x v="1"/>
    <x v="4"/>
    <x v="1"/>
    <n v="1396"/>
    <n v="1197"/>
    <x v="127"/>
    <n v="55609"/>
    <n v="47733"/>
    <n v="-0.14163175025625349"/>
    <n v="10.39"/>
    <n v="-3.64"/>
    <n v="184"/>
    <n v="44"/>
  </r>
  <r>
    <x v="0"/>
    <x v="0"/>
    <x v="3"/>
    <x v="0"/>
    <n v="960"/>
    <n v="896"/>
    <x v="128"/>
    <n v="72333"/>
    <n v="67344"/>
    <n v="-6.8972668076811419E-2"/>
    <n v="11.25"/>
    <n v="-4.0599999999999996"/>
    <n v="73"/>
    <n v="157"/>
  </r>
  <r>
    <x v="1"/>
    <x v="3"/>
    <x v="1"/>
    <x v="1"/>
    <n v="2646"/>
    <n v="2441"/>
    <x v="129"/>
    <n v="47149"/>
    <n v="38206"/>
    <n v="-0.18967528473562537"/>
    <n v="11.69"/>
    <n v="-3.6"/>
    <n v="137"/>
    <n v="189"/>
  </r>
  <r>
    <x v="2"/>
    <x v="0"/>
    <x v="2"/>
    <x v="1"/>
    <n v="1546"/>
    <n v="1076"/>
    <x v="130"/>
    <n v="43776"/>
    <n v="36231"/>
    <n v="-0.17235471491228072"/>
    <n v="7.31"/>
    <n v="-0.56000000000000005"/>
    <n v="56"/>
    <n v="147"/>
  </r>
  <r>
    <x v="0"/>
    <x v="0"/>
    <x v="4"/>
    <x v="1"/>
    <n v="1544"/>
    <n v="1365"/>
    <x v="131"/>
    <n v="41561"/>
    <n v="37905"/>
    <n v="-8.7967084526358846E-2"/>
    <n v="10.220000000000001"/>
    <n v="1"/>
    <n v="124"/>
    <n v="188"/>
  </r>
  <r>
    <x v="0"/>
    <x v="3"/>
    <x v="3"/>
    <x v="1"/>
    <n v="2846"/>
    <n v="2613"/>
    <x v="132"/>
    <n v="77616"/>
    <n v="75876"/>
    <n v="-2.2418058132343845E-2"/>
    <n v="6.93"/>
    <n v="-3.44"/>
    <n v="113"/>
    <n v="23"/>
  </r>
  <r>
    <x v="1"/>
    <x v="0"/>
    <x v="1"/>
    <x v="1"/>
    <n v="3719"/>
    <n v="3612"/>
    <x v="133"/>
    <n v="74771"/>
    <n v="69345"/>
    <n v="-7.2568241697984509E-2"/>
    <n v="8.89"/>
    <n v="-1.66"/>
    <n v="44"/>
    <n v="27"/>
  </r>
  <r>
    <x v="1"/>
    <x v="2"/>
    <x v="2"/>
    <x v="1"/>
    <n v="3268"/>
    <n v="3145"/>
    <x v="134"/>
    <n v="94201"/>
    <n v="89235"/>
    <n v="-5.2717062451566335E-2"/>
    <n v="4.6399999999999997"/>
    <n v="-0.18"/>
    <n v="144"/>
    <n v="187"/>
  </r>
  <r>
    <x v="3"/>
    <x v="2"/>
    <x v="3"/>
    <x v="0"/>
    <n v="1104"/>
    <n v="826"/>
    <x v="135"/>
    <n v="81209"/>
    <n v="77108"/>
    <n v="-5.0499328892117869E-2"/>
    <n v="4.3499999999999996"/>
    <n v="1.0900000000000001"/>
    <n v="75"/>
    <n v="46"/>
  </r>
  <r>
    <x v="1"/>
    <x v="2"/>
    <x v="4"/>
    <x v="2"/>
    <n v="656"/>
    <n v="270"/>
    <x v="136"/>
    <n v="72529"/>
    <n v="62604"/>
    <n v="-0.13684181499813869"/>
    <n v="8.85"/>
    <n v="-2.8"/>
    <n v="250"/>
    <n v="14"/>
  </r>
  <r>
    <x v="0"/>
    <x v="0"/>
    <x v="1"/>
    <x v="1"/>
    <n v="3112"/>
    <n v="2903"/>
    <x v="137"/>
    <n v="83812"/>
    <n v="78852"/>
    <n v="-5.9180069679759459E-2"/>
    <n v="4.9400000000000004"/>
    <n v="0.87"/>
    <n v="121"/>
    <n v="167"/>
  </r>
  <r>
    <x v="2"/>
    <x v="0"/>
    <x v="3"/>
    <x v="2"/>
    <n v="4859"/>
    <n v="4682"/>
    <x v="138"/>
    <n v="93807"/>
    <n v="86994"/>
    <n v="-7.2627842271898682E-2"/>
    <n v="4.54"/>
    <n v="1.01"/>
    <n v="211"/>
    <n v="182"/>
  </r>
  <r>
    <x v="2"/>
    <x v="2"/>
    <x v="1"/>
    <x v="1"/>
    <n v="4153"/>
    <n v="3711"/>
    <x v="139"/>
    <n v="47394"/>
    <n v="45503"/>
    <n v="-3.9899565345824367E-2"/>
    <n v="5.29"/>
    <n v="-3.93"/>
    <n v="47"/>
    <n v="175"/>
  </r>
  <r>
    <x v="0"/>
    <x v="1"/>
    <x v="2"/>
    <x v="2"/>
    <n v="4625"/>
    <n v="4213"/>
    <x v="140"/>
    <n v="51998"/>
    <n v="47419"/>
    <n v="-8.8061079272279699E-2"/>
    <n v="4.0599999999999996"/>
    <n v="-4.8099999999999996"/>
    <n v="291"/>
    <n v="49"/>
  </r>
  <r>
    <x v="2"/>
    <x v="2"/>
    <x v="0"/>
    <x v="0"/>
    <n v="821"/>
    <n v="394"/>
    <x v="141"/>
    <n v="64148"/>
    <n v="56880"/>
    <n v="-0.11330049261083744"/>
    <n v="6.54"/>
    <n v="-2.66"/>
    <n v="108"/>
    <n v="115"/>
  </r>
  <r>
    <x v="3"/>
    <x v="1"/>
    <x v="3"/>
    <x v="1"/>
    <n v="4233"/>
    <n v="4022"/>
    <x v="142"/>
    <n v="53520"/>
    <n v="45637"/>
    <n v="-0.14729073243647234"/>
    <n v="10.58"/>
    <n v="-3.01"/>
    <n v="39"/>
    <n v="163"/>
  </r>
  <r>
    <x v="1"/>
    <x v="0"/>
    <x v="4"/>
    <x v="2"/>
    <n v="3852"/>
    <n v="3513"/>
    <x v="143"/>
    <n v="90776"/>
    <n v="89558"/>
    <n v="-1.3417643429981493E-2"/>
    <n v="9.07"/>
    <n v="-2.2999999999999998"/>
    <n v="283"/>
    <n v="50"/>
  </r>
  <r>
    <x v="1"/>
    <x v="2"/>
    <x v="3"/>
    <x v="1"/>
    <n v="3150"/>
    <n v="2971"/>
    <x v="144"/>
    <n v="96640"/>
    <n v="94237"/>
    <n v="-2.4865480132450331E-2"/>
    <n v="10.220000000000001"/>
    <n v="-3.13"/>
    <n v="86"/>
    <n v="145"/>
  </r>
  <r>
    <x v="3"/>
    <x v="3"/>
    <x v="3"/>
    <x v="0"/>
    <n v="3685"/>
    <n v="3269"/>
    <x v="145"/>
    <n v="55944"/>
    <n v="54899"/>
    <n v="-1.8679393679393679E-2"/>
    <n v="10.77"/>
    <n v="-4.57"/>
    <n v="29"/>
    <n v="179"/>
  </r>
  <r>
    <x v="2"/>
    <x v="1"/>
    <x v="2"/>
    <x v="0"/>
    <n v="4864"/>
    <n v="4412"/>
    <x v="146"/>
    <n v="74822"/>
    <n v="68715"/>
    <n v="-8.1620379032904755E-2"/>
    <n v="11.72"/>
    <n v="1.94"/>
    <n v="83"/>
    <n v="123"/>
  </r>
  <r>
    <x v="3"/>
    <x v="0"/>
    <x v="1"/>
    <x v="1"/>
    <n v="4428"/>
    <n v="4372"/>
    <x v="147"/>
    <n v="85648"/>
    <n v="80089"/>
    <n v="-6.4905193349523632E-2"/>
    <n v="6.5"/>
    <n v="1.39"/>
    <n v="300"/>
    <n v="8"/>
  </r>
  <r>
    <x v="1"/>
    <x v="0"/>
    <x v="4"/>
    <x v="0"/>
    <n v="1722"/>
    <n v="1541"/>
    <x v="148"/>
    <n v="95940"/>
    <n v="90316"/>
    <n v="-5.8619970815092765E-2"/>
    <n v="4.43"/>
    <n v="-3.68"/>
    <n v="14"/>
    <n v="13"/>
  </r>
  <r>
    <x v="0"/>
    <x v="1"/>
    <x v="3"/>
    <x v="2"/>
    <n v="2773"/>
    <n v="2672"/>
    <x v="149"/>
    <n v="43694"/>
    <n v="37238"/>
    <n v="-0.14775484048153065"/>
    <n v="8.2799999999999994"/>
    <n v="-3.54"/>
    <n v="297"/>
    <n v="77"/>
  </r>
  <r>
    <x v="0"/>
    <x v="1"/>
    <x v="0"/>
    <x v="1"/>
    <n v="3150"/>
    <n v="2761"/>
    <x v="150"/>
    <n v="92396"/>
    <n v="87398"/>
    <n v="-5.4093250790077492E-2"/>
    <n v="4.96"/>
    <n v="-0.76"/>
    <n v="48"/>
    <n v="20"/>
  </r>
  <r>
    <x v="1"/>
    <x v="0"/>
    <x v="0"/>
    <x v="2"/>
    <n v="4898"/>
    <n v="4747"/>
    <x v="151"/>
    <n v="73884"/>
    <n v="66094"/>
    <n v="-0.10543554761518055"/>
    <n v="11.87"/>
    <n v="-1.1499999999999999"/>
    <n v="281"/>
    <n v="121"/>
  </r>
  <r>
    <x v="1"/>
    <x v="2"/>
    <x v="3"/>
    <x v="1"/>
    <n v="2002"/>
    <n v="1651"/>
    <x v="152"/>
    <n v="93796"/>
    <n v="84839"/>
    <n v="-9.5494477376433962E-2"/>
    <n v="8.34"/>
    <n v="-3.78"/>
    <n v="225"/>
    <n v="94"/>
  </r>
  <r>
    <x v="3"/>
    <x v="0"/>
    <x v="3"/>
    <x v="2"/>
    <n v="3594"/>
    <n v="3394"/>
    <x v="153"/>
    <n v="58489"/>
    <n v="48584"/>
    <n v="-0.1693480825454359"/>
    <n v="11.97"/>
    <n v="-2.44"/>
    <n v="236"/>
    <n v="19"/>
  </r>
  <r>
    <x v="2"/>
    <x v="0"/>
    <x v="0"/>
    <x v="1"/>
    <n v="4774"/>
    <n v="4426"/>
    <x v="154"/>
    <n v="92478"/>
    <n v="90162"/>
    <n v="-2.5043794199701552E-2"/>
    <n v="4.01"/>
    <n v="-0.79"/>
    <n v="113"/>
    <n v="154"/>
  </r>
  <r>
    <x v="2"/>
    <x v="1"/>
    <x v="0"/>
    <x v="2"/>
    <n v="3166"/>
    <n v="2800"/>
    <x v="155"/>
    <n v="63541"/>
    <n v="53645"/>
    <n v="-0.15574196188287878"/>
    <n v="7.7"/>
    <n v="-3.05"/>
    <n v="156"/>
    <n v="194"/>
  </r>
  <r>
    <x v="3"/>
    <x v="1"/>
    <x v="1"/>
    <x v="1"/>
    <n v="4575"/>
    <n v="4502"/>
    <x v="156"/>
    <n v="65475"/>
    <n v="60714"/>
    <n v="-7.27147766323024E-2"/>
    <n v="10.6"/>
    <n v="2.71"/>
    <n v="217"/>
    <n v="126"/>
  </r>
  <r>
    <x v="3"/>
    <x v="0"/>
    <x v="4"/>
    <x v="1"/>
    <n v="2404"/>
    <n v="2111"/>
    <x v="157"/>
    <n v="71345"/>
    <n v="68661"/>
    <n v="-3.7620015418039103E-2"/>
    <n v="8.14"/>
    <n v="-1.69"/>
    <n v="133"/>
    <n v="134"/>
  </r>
  <r>
    <x v="3"/>
    <x v="1"/>
    <x v="3"/>
    <x v="2"/>
    <n v="2480"/>
    <n v="2255"/>
    <x v="158"/>
    <n v="59788"/>
    <n v="56736"/>
    <n v="-5.1047032849401215E-2"/>
    <n v="5.56"/>
    <n v="-4.66"/>
    <n v="211"/>
    <n v="195"/>
  </r>
  <r>
    <x v="3"/>
    <x v="1"/>
    <x v="3"/>
    <x v="1"/>
    <n v="3411"/>
    <n v="3107"/>
    <x v="159"/>
    <n v="88646"/>
    <n v="86921"/>
    <n v="-1.9459422873000475E-2"/>
    <n v="10.61"/>
    <n v="-3.26"/>
    <n v="112"/>
    <n v="200"/>
  </r>
  <r>
    <x v="0"/>
    <x v="2"/>
    <x v="2"/>
    <x v="0"/>
    <n v="3104"/>
    <n v="2779"/>
    <x v="160"/>
    <n v="30382"/>
    <n v="25538"/>
    <n v="-0.15943650845895596"/>
    <n v="11.56"/>
    <n v="2.92"/>
    <n v="191"/>
    <n v="175"/>
  </r>
  <r>
    <x v="3"/>
    <x v="1"/>
    <x v="3"/>
    <x v="1"/>
    <n v="929"/>
    <n v="492"/>
    <x v="161"/>
    <n v="96344"/>
    <n v="90939"/>
    <n v="-5.6101054554512995E-2"/>
    <n v="8.01"/>
    <n v="-4.5999999999999996"/>
    <n v="286"/>
    <n v="196"/>
  </r>
  <r>
    <x v="2"/>
    <x v="0"/>
    <x v="1"/>
    <x v="1"/>
    <n v="1623"/>
    <n v="1486"/>
    <x v="162"/>
    <n v="88661"/>
    <n v="80390"/>
    <n v="-9.3287916896944545E-2"/>
    <n v="9.82"/>
    <n v="-2.78"/>
    <n v="259"/>
    <n v="193"/>
  </r>
  <r>
    <x v="3"/>
    <x v="0"/>
    <x v="1"/>
    <x v="2"/>
    <n v="2517"/>
    <n v="2383"/>
    <x v="163"/>
    <n v="70262"/>
    <n v="63774"/>
    <n v="-9.2340098488514419E-2"/>
    <n v="6.74"/>
    <n v="-2.38"/>
    <n v="112"/>
    <n v="31"/>
  </r>
  <r>
    <x v="1"/>
    <x v="0"/>
    <x v="2"/>
    <x v="0"/>
    <n v="4559"/>
    <n v="4338"/>
    <x v="164"/>
    <n v="42939"/>
    <n v="40539"/>
    <n v="-5.5893243904143089E-2"/>
    <n v="5.41"/>
    <n v="1.45"/>
    <n v="53"/>
    <n v="161"/>
  </r>
  <r>
    <x v="2"/>
    <x v="0"/>
    <x v="1"/>
    <x v="0"/>
    <n v="904"/>
    <n v="475"/>
    <x v="165"/>
    <n v="76779"/>
    <n v="72133"/>
    <n v="-6.0511337735578742E-2"/>
    <n v="7.92"/>
    <n v="-0.03"/>
    <n v="174"/>
    <n v="142"/>
  </r>
  <r>
    <x v="0"/>
    <x v="1"/>
    <x v="3"/>
    <x v="1"/>
    <n v="3312"/>
    <n v="2826"/>
    <x v="166"/>
    <n v="76950"/>
    <n v="69733"/>
    <n v="-9.3788174139051328E-2"/>
    <n v="7.34"/>
    <n v="-2.67"/>
    <n v="144"/>
    <n v="9"/>
  </r>
  <r>
    <x v="3"/>
    <x v="2"/>
    <x v="4"/>
    <x v="2"/>
    <n v="3978"/>
    <n v="3757"/>
    <x v="167"/>
    <n v="83007"/>
    <n v="76176"/>
    <n v="-8.2294264339152115E-2"/>
    <n v="7.05"/>
    <n v="-2.16"/>
    <n v="295"/>
    <n v="163"/>
  </r>
  <r>
    <x v="0"/>
    <x v="2"/>
    <x v="2"/>
    <x v="0"/>
    <n v="4147"/>
    <n v="3806"/>
    <x v="168"/>
    <n v="88879"/>
    <n v="84361"/>
    <n v="-5.0833155188514723E-2"/>
    <n v="6.51"/>
    <n v="2.15"/>
    <n v="100"/>
    <n v="41"/>
  </r>
  <r>
    <x v="0"/>
    <x v="0"/>
    <x v="2"/>
    <x v="2"/>
    <n v="2485"/>
    <n v="2025"/>
    <x v="169"/>
    <n v="89682"/>
    <n v="87687"/>
    <n v="-2.2245266608684016E-2"/>
    <n v="10.34"/>
    <n v="2.79"/>
    <n v="164"/>
    <n v="106"/>
  </r>
  <r>
    <x v="1"/>
    <x v="1"/>
    <x v="2"/>
    <x v="0"/>
    <n v="1394"/>
    <n v="1180"/>
    <x v="170"/>
    <n v="94544"/>
    <n v="91586"/>
    <n v="-3.128701980030462E-2"/>
    <n v="6.62"/>
    <n v="-2.2400000000000002"/>
    <n v="18"/>
    <n v="107"/>
  </r>
  <r>
    <x v="2"/>
    <x v="2"/>
    <x v="1"/>
    <x v="1"/>
    <n v="3458"/>
    <n v="2998"/>
    <x v="171"/>
    <n v="31421"/>
    <n v="24086"/>
    <n v="-0.23344260208141052"/>
    <n v="9.6"/>
    <n v="2.94"/>
    <n v="142"/>
    <n v="60"/>
  </r>
  <r>
    <x v="2"/>
    <x v="3"/>
    <x v="3"/>
    <x v="1"/>
    <n v="4022"/>
    <n v="3823"/>
    <x v="172"/>
    <n v="44830"/>
    <n v="36641"/>
    <n v="-0.18266785634619676"/>
    <n v="10.3"/>
    <n v="-1.75"/>
    <n v="77"/>
    <n v="67"/>
  </r>
  <r>
    <x v="2"/>
    <x v="0"/>
    <x v="0"/>
    <x v="0"/>
    <n v="3849"/>
    <n v="3633"/>
    <x v="173"/>
    <n v="58966"/>
    <n v="52797"/>
    <n v="-0.10461961130142794"/>
    <n v="4.26"/>
    <n v="-4.28"/>
    <n v="288"/>
    <n v="177"/>
  </r>
  <r>
    <x v="2"/>
    <x v="1"/>
    <x v="2"/>
    <x v="0"/>
    <n v="2442"/>
    <n v="2112"/>
    <x v="174"/>
    <n v="32381"/>
    <n v="25189"/>
    <n v="-0.22210555572712393"/>
    <n v="7.43"/>
    <n v="-4.22"/>
    <n v="194"/>
    <n v="14"/>
  </r>
  <r>
    <x v="3"/>
    <x v="1"/>
    <x v="1"/>
    <x v="1"/>
    <n v="2362"/>
    <n v="2162"/>
    <x v="175"/>
    <n v="62575"/>
    <n v="54784"/>
    <n v="-0.12450659208949261"/>
    <n v="8.73"/>
    <n v="-1.38"/>
    <n v="185"/>
    <n v="169"/>
  </r>
  <r>
    <x v="0"/>
    <x v="3"/>
    <x v="2"/>
    <x v="2"/>
    <n v="1982"/>
    <n v="1738"/>
    <x v="176"/>
    <n v="91361"/>
    <n v="86276"/>
    <n v="-5.5658322478957106E-2"/>
    <n v="11.24"/>
    <n v="2.74"/>
    <n v="48"/>
    <n v="196"/>
  </r>
  <r>
    <x v="3"/>
    <x v="1"/>
    <x v="0"/>
    <x v="0"/>
    <n v="2043"/>
    <n v="1846"/>
    <x v="177"/>
    <n v="77410"/>
    <n v="69607"/>
    <n v="-0.10080093011238858"/>
    <n v="5.2"/>
    <n v="-4.8899999999999997"/>
    <n v="216"/>
    <n v="18"/>
  </r>
  <r>
    <x v="1"/>
    <x v="0"/>
    <x v="1"/>
    <x v="2"/>
    <n v="2143"/>
    <n v="1843"/>
    <x v="178"/>
    <n v="98409"/>
    <n v="92643"/>
    <n v="-5.8592201932750054E-2"/>
    <n v="9.5500000000000007"/>
    <n v="2.48"/>
    <n v="233"/>
    <n v="87"/>
  </r>
  <r>
    <x v="0"/>
    <x v="1"/>
    <x v="4"/>
    <x v="2"/>
    <n v="1610"/>
    <n v="1520"/>
    <x v="179"/>
    <n v="62243"/>
    <n v="54715"/>
    <n v="-0.12094532718538631"/>
    <n v="11.09"/>
    <n v="2.16"/>
    <n v="217"/>
    <n v="64"/>
  </r>
  <r>
    <x v="3"/>
    <x v="0"/>
    <x v="1"/>
    <x v="0"/>
    <n v="610"/>
    <n v="135"/>
    <x v="180"/>
    <n v="45598"/>
    <n v="38819"/>
    <n v="-0.1486688012632133"/>
    <n v="6.91"/>
    <n v="-1.89"/>
    <n v="96"/>
    <n v="28"/>
  </r>
  <r>
    <x v="2"/>
    <x v="3"/>
    <x v="2"/>
    <x v="2"/>
    <n v="2855"/>
    <n v="2506"/>
    <x v="181"/>
    <n v="55611"/>
    <n v="47879"/>
    <n v="-0.13903724083364802"/>
    <n v="4.2300000000000004"/>
    <n v="-4.9000000000000004"/>
    <n v="51"/>
    <n v="112"/>
  </r>
  <r>
    <x v="2"/>
    <x v="1"/>
    <x v="2"/>
    <x v="2"/>
    <n v="810"/>
    <n v="563"/>
    <x v="182"/>
    <n v="74828"/>
    <n v="71039"/>
    <n v="-5.0636125514513283E-2"/>
    <n v="6.64"/>
    <n v="2.75"/>
    <n v="179"/>
    <n v="44"/>
  </r>
  <r>
    <x v="2"/>
    <x v="3"/>
    <x v="4"/>
    <x v="1"/>
    <n v="3830"/>
    <n v="3574"/>
    <x v="183"/>
    <n v="54780"/>
    <n v="46204"/>
    <n v="-0.15655348667396859"/>
    <n v="5.26"/>
    <n v="0.73"/>
    <n v="25"/>
    <n v="57"/>
  </r>
  <r>
    <x v="0"/>
    <x v="0"/>
    <x v="0"/>
    <x v="0"/>
    <n v="2694"/>
    <n v="2445"/>
    <x v="184"/>
    <n v="77421"/>
    <n v="73760"/>
    <n v="-4.7286911819790493E-2"/>
    <n v="8.69"/>
    <n v="0.01"/>
    <n v="271"/>
    <n v="131"/>
  </r>
  <r>
    <x v="3"/>
    <x v="2"/>
    <x v="2"/>
    <x v="0"/>
    <n v="4323"/>
    <n v="3876"/>
    <x v="185"/>
    <n v="64059"/>
    <n v="61480"/>
    <n v="-4.0259760533258401E-2"/>
    <n v="4.8"/>
    <n v="-0.55000000000000004"/>
    <n v="217"/>
    <n v="175"/>
  </r>
  <r>
    <x v="1"/>
    <x v="2"/>
    <x v="1"/>
    <x v="2"/>
    <n v="1754"/>
    <n v="1583"/>
    <x v="186"/>
    <n v="98358"/>
    <n v="95580"/>
    <n v="-2.8243762581589702E-2"/>
    <n v="6.04"/>
    <n v="-0.04"/>
    <n v="48"/>
    <n v="5"/>
  </r>
  <r>
    <x v="3"/>
    <x v="1"/>
    <x v="1"/>
    <x v="1"/>
    <n v="4359"/>
    <n v="4271"/>
    <x v="187"/>
    <n v="31801"/>
    <n v="24218"/>
    <n v="-0.23845162101820697"/>
    <n v="6.35"/>
    <n v="0.25"/>
    <n v="274"/>
    <n v="124"/>
  </r>
  <r>
    <x v="3"/>
    <x v="1"/>
    <x v="3"/>
    <x v="2"/>
    <n v="1493"/>
    <n v="1168"/>
    <x v="188"/>
    <n v="53418"/>
    <n v="48132"/>
    <n v="-9.8955408289340671E-2"/>
    <n v="9.76"/>
    <n v="0.95"/>
    <n v="90"/>
    <n v="195"/>
  </r>
  <r>
    <x v="0"/>
    <x v="0"/>
    <x v="4"/>
    <x v="0"/>
    <n v="2022"/>
    <n v="1735"/>
    <x v="189"/>
    <n v="33718"/>
    <n v="31873"/>
    <n v="-5.4718547956581057E-2"/>
    <n v="7.93"/>
    <n v="2.4700000000000002"/>
    <n v="198"/>
    <n v="146"/>
  </r>
  <r>
    <x v="3"/>
    <x v="0"/>
    <x v="3"/>
    <x v="0"/>
    <n v="2454"/>
    <n v="2281"/>
    <x v="190"/>
    <n v="78732"/>
    <n v="69254"/>
    <n v="-0.12038307168622669"/>
    <n v="4.3"/>
    <n v="-2.9"/>
    <n v="235"/>
    <n v="70"/>
  </r>
  <r>
    <x v="2"/>
    <x v="2"/>
    <x v="2"/>
    <x v="2"/>
    <n v="1819"/>
    <n v="1420"/>
    <x v="191"/>
    <n v="70142"/>
    <n v="60838"/>
    <n v="-0.13264520544039235"/>
    <n v="6.98"/>
    <n v="-2.63"/>
    <n v="20"/>
    <n v="9"/>
  </r>
  <r>
    <x v="3"/>
    <x v="0"/>
    <x v="4"/>
    <x v="0"/>
    <n v="3186"/>
    <n v="2706"/>
    <x v="192"/>
    <n v="70914"/>
    <n v="64214"/>
    <n v="-9.4480638519897339E-2"/>
    <n v="11.85"/>
    <n v="-1.02"/>
    <n v="244"/>
    <n v="82"/>
  </r>
  <r>
    <x v="0"/>
    <x v="1"/>
    <x v="3"/>
    <x v="0"/>
    <n v="3881"/>
    <n v="3424"/>
    <x v="193"/>
    <n v="88156"/>
    <n v="79256"/>
    <n v="-0.10095739371114842"/>
    <n v="6.68"/>
    <n v="2.99"/>
    <n v="283"/>
    <n v="95"/>
  </r>
  <r>
    <x v="2"/>
    <x v="1"/>
    <x v="2"/>
    <x v="2"/>
    <n v="3091"/>
    <n v="2946"/>
    <x v="194"/>
    <n v="68943"/>
    <n v="61970"/>
    <n v="-0.10114152270716389"/>
    <n v="8.86"/>
    <n v="-4.9800000000000004"/>
    <n v="11"/>
    <n v="156"/>
  </r>
  <r>
    <x v="1"/>
    <x v="1"/>
    <x v="2"/>
    <x v="1"/>
    <n v="1008"/>
    <n v="717"/>
    <x v="195"/>
    <n v="83473"/>
    <n v="76140"/>
    <n v="-8.7848765469073831E-2"/>
    <n v="4.5199999999999996"/>
    <n v="0.93"/>
    <n v="35"/>
    <n v="151"/>
  </r>
  <r>
    <x v="3"/>
    <x v="2"/>
    <x v="0"/>
    <x v="1"/>
    <n v="2384"/>
    <n v="2293"/>
    <x v="196"/>
    <n v="91601"/>
    <n v="88682"/>
    <n v="-3.1866464339908952E-2"/>
    <n v="5.51"/>
    <n v="1.1599999999999999"/>
    <n v="169"/>
    <n v="89"/>
  </r>
  <r>
    <x v="2"/>
    <x v="3"/>
    <x v="1"/>
    <x v="2"/>
    <n v="3963"/>
    <n v="3476"/>
    <x v="197"/>
    <n v="99229"/>
    <n v="93850"/>
    <n v="-5.4207943242398894E-2"/>
    <n v="8.48"/>
    <n v="-0.09"/>
    <n v="163"/>
    <n v="173"/>
  </r>
  <r>
    <x v="1"/>
    <x v="2"/>
    <x v="4"/>
    <x v="1"/>
    <n v="2778"/>
    <n v="2413"/>
    <x v="198"/>
    <n v="57543"/>
    <n v="52941"/>
    <n v="-7.9974975235910531E-2"/>
    <n v="5.14"/>
    <n v="-0.01"/>
    <n v="74"/>
    <n v="15"/>
  </r>
  <r>
    <x v="0"/>
    <x v="3"/>
    <x v="1"/>
    <x v="2"/>
    <n v="3600"/>
    <n v="3497"/>
    <x v="199"/>
    <n v="74212"/>
    <n v="72100"/>
    <n v="-2.8459009324637526E-2"/>
    <n v="6.74"/>
    <n v="-4.8499999999999996"/>
    <n v="75"/>
    <n v="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11EE3-5B74-4EE9-BD7E-5AFAD47291E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S1:T5" firstHeaderRow="1" firstDataRow="1" firstDataCol="1"/>
  <pivotFields count="18">
    <pivotField showAll="0">
      <items count="5">
        <item x="2"/>
        <item x="1"/>
        <item x="0"/>
        <item x="3"/>
        <item t="default"/>
      </items>
    </pivotField>
    <pivotField showAll="0">
      <items count="5">
        <item x="2"/>
        <item x="3"/>
        <item x="1"/>
        <item x="0"/>
        <item t="default"/>
      </items>
    </pivotField>
    <pivotField showAll="0">
      <items count="6">
        <item x="2"/>
        <item x="0"/>
        <item x="3"/>
        <item x="4"/>
        <item x="1"/>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 showAll="0"/>
    <pivotField showAll="0"/>
    <pivotField dataField="1" numFmtId="9" showAll="0"/>
    <pivotField numFmtId="1" showAll="0"/>
    <pivotField numFmtId="2" showAll="0"/>
    <pivotField numFmtId="10" showAll="0"/>
    <pivotField showAll="0"/>
    <pivotField showAll="0"/>
    <pivotField numFmtId="2"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4">
    <i>
      <x v="1"/>
    </i>
    <i>
      <x v="2"/>
    </i>
    <i>
      <x/>
    </i>
    <i t="grand">
      <x/>
    </i>
  </rowItems>
  <colItems count="1">
    <i/>
  </colItems>
  <dataFields count="1">
    <dataField name="Average of Job_Change_%" fld="6" subtotal="average" baseField="3" baseItem="0" numFmtId="9"/>
  </dataFields>
  <chartFormats count="6">
    <chartFormat chart="41" format="8" series="1">
      <pivotArea type="data" outline="0" fieldPosition="0">
        <references count="1">
          <reference field="4294967294" count="1" selected="0">
            <x v="0"/>
          </reference>
        </references>
      </pivotArea>
    </chartFormat>
    <chartFormat chart="41" format="9">
      <pivotArea type="data" outline="0" fieldPosition="0">
        <references count="2">
          <reference field="4294967294" count="1" selected="0">
            <x v="0"/>
          </reference>
          <reference field="3" count="1" selected="0">
            <x v="0"/>
          </reference>
        </references>
      </pivotArea>
    </chartFormat>
    <chartFormat chart="41" format="10">
      <pivotArea type="data" outline="0" fieldPosition="0">
        <references count="2">
          <reference field="4294967294" count="1" selected="0">
            <x v="0"/>
          </reference>
          <reference field="3" count="1" selected="0">
            <x v="2"/>
          </reference>
        </references>
      </pivotArea>
    </chartFormat>
    <chartFormat chart="41" format="11">
      <pivotArea type="data" outline="0" fieldPosition="0">
        <references count="2">
          <reference field="4294967294" count="1" selected="0">
            <x v="0"/>
          </reference>
          <reference field="3" count="1" selected="0">
            <x v="1"/>
          </reference>
        </references>
      </pivotArea>
    </chartFormat>
    <chartFormat chart="46" format="0"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35C632-7DCB-4553-857F-47E50AAA860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N1:O6" firstHeaderRow="1" firstDataRow="1" firstDataCol="1"/>
  <pivotFields count="18">
    <pivotField showAll="0">
      <items count="5">
        <item x="2"/>
        <item x="1"/>
        <item x="0"/>
        <item x="3"/>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6">
        <item x="2"/>
        <item x="0"/>
        <item x="3"/>
        <item x="4"/>
        <item x="1"/>
        <item t="default"/>
      </items>
    </pivotField>
    <pivotField showAll="0">
      <items count="4">
        <item x="0"/>
        <item x="2"/>
        <item x="1"/>
        <item t="default"/>
      </items>
    </pivotField>
    <pivotField numFmtId="1" showAll="0"/>
    <pivotField showAll="0"/>
    <pivotField numFmtId="9" showAll="0"/>
    <pivotField numFmtId="1" showAll="0"/>
    <pivotField numFmtId="2" showAll="0"/>
    <pivotField numFmtId="10" showAll="0"/>
    <pivotField showAll="0"/>
    <pivotField showAll="0"/>
    <pivotField dataField="1" numFmtId="2"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5">
    <i>
      <x v="3"/>
    </i>
    <i>
      <x v="2"/>
    </i>
    <i>
      <x/>
    </i>
    <i>
      <x v="1"/>
    </i>
    <i t="grand">
      <x/>
    </i>
  </rowItems>
  <colItems count="1">
    <i/>
  </colItems>
  <dataFields count="1">
    <dataField name="Sum of Layoffs" fld="12" baseField="0" baseItem="0" numFmtId="4"/>
  </dataFields>
  <formats count="2">
    <format dxfId="1">
      <pivotArea outline="0" fieldPosition="0">
        <references count="1">
          <reference field="4294967294" count="1">
            <x v="0"/>
          </reference>
        </references>
      </pivotArea>
    </format>
    <format dxfId="0">
      <pivotArea collapsedLevelsAreSubtotals="1" fieldPosition="0">
        <references count="1">
          <reference field="1" count="0"/>
        </references>
      </pivotArea>
    </format>
  </formats>
  <chartFormats count="12">
    <chartFormat chart="12"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1" count="1" selected="0">
            <x v="3"/>
          </reference>
        </references>
      </pivotArea>
    </chartFormat>
    <chartFormat chart="38" format="8">
      <pivotArea type="data" outline="0" fieldPosition="0">
        <references count="2">
          <reference field="4294967294" count="1" selected="0">
            <x v="0"/>
          </reference>
          <reference field="1" count="1" selected="0">
            <x v="2"/>
          </reference>
        </references>
      </pivotArea>
    </chartFormat>
    <chartFormat chart="38" format="9">
      <pivotArea type="data" outline="0" fieldPosition="0">
        <references count="2">
          <reference field="4294967294" count="1" selected="0">
            <x v="0"/>
          </reference>
          <reference field="1" count="1" selected="0">
            <x v="0"/>
          </reference>
        </references>
      </pivotArea>
    </chartFormat>
    <chartFormat chart="38" format="10">
      <pivotArea type="data" outline="0" fieldPosition="0">
        <references count="2">
          <reference field="4294967294" count="1" selected="0">
            <x v="0"/>
          </reference>
          <reference field="1" count="1" selected="0">
            <x v="1"/>
          </reference>
        </references>
      </pivotArea>
    </chartFormat>
    <chartFormat chart="23" format="1">
      <pivotArea type="data" outline="0" fieldPosition="0">
        <references count="2">
          <reference field="4294967294" count="1" selected="0">
            <x v="0"/>
          </reference>
          <reference field="1" count="1" selected="0">
            <x v="3"/>
          </reference>
        </references>
      </pivotArea>
    </chartFormat>
    <chartFormat chart="23" format="2">
      <pivotArea type="data" outline="0" fieldPosition="0">
        <references count="2">
          <reference field="4294967294" count="1" selected="0">
            <x v="0"/>
          </reference>
          <reference field="1" count="1" selected="0">
            <x v="2"/>
          </reference>
        </references>
      </pivotArea>
    </chartFormat>
    <chartFormat chart="23" format="3">
      <pivotArea type="data" outline="0" fieldPosition="0">
        <references count="2">
          <reference field="4294967294" count="1" selected="0">
            <x v="0"/>
          </reference>
          <reference field="1" count="1" selected="0">
            <x v="0"/>
          </reference>
        </references>
      </pivotArea>
    </chartFormat>
    <chartFormat chart="23"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7DFCD3-926D-434D-95B1-07EE52459F0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0:C66" firstHeaderRow="0" firstDataRow="1" firstDataCol="1"/>
  <pivotFields count="18">
    <pivotField showAll="0"/>
    <pivotField showAll="0"/>
    <pivotField axis="axisRow" showAll="0">
      <items count="6">
        <item x="2"/>
        <item x="0"/>
        <item x="3"/>
        <item x="4"/>
        <item x="1"/>
        <item t="default"/>
      </items>
    </pivotField>
    <pivotField showAll="0"/>
    <pivotField dataField="1" numFmtId="1" showAll="0"/>
    <pivotField dataField="1" showAll="0"/>
    <pivotField numFmtId="9" showAll="0"/>
    <pivotField numFmtId="1" showAll="0"/>
    <pivotField numFmtId="2" showAll="0"/>
    <pivotField numFmtId="10" showAll="0"/>
    <pivotField showAll="0"/>
    <pivotField showAll="0"/>
    <pivotField numFmtId="2"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Sum of Before_Jobs" fld="4" baseField="0" baseItem="0" numFmtId="1"/>
    <dataField name="Sum of After_Jobs"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732E25-86F5-4E11-AE13-AA4B95F81F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8">
    <pivotField showAll="0"/>
    <pivotField showAll="0">
      <items count="5">
        <item x="2"/>
        <item x="3"/>
        <item x="1"/>
        <item x="0"/>
        <item t="default"/>
      </items>
    </pivotField>
    <pivotField showAll="0"/>
    <pivotField showAll="0">
      <items count="4">
        <item x="0"/>
        <item x="2"/>
        <item x="1"/>
        <item t="default"/>
      </items>
    </pivotField>
    <pivotField numFmtId="1" showAll="0"/>
    <pivotField showAll="0"/>
    <pivotField numFmtId="9" showAll="0"/>
    <pivotField numFmtId="1" showAll="0"/>
    <pivotField numFmtId="2" showAll="0"/>
    <pivotField dataField="1" numFmtId="10" showAll="0"/>
    <pivotField showAll="0"/>
    <pivotField showAll="0"/>
    <pivotField numFmtId="2"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Salary_Change_%" fld="9"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BD6F40-4AD0-4EB6-B0E6-FCEE351115F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B55" firstHeaderRow="1" firstDataRow="1" firstDataCol="1"/>
  <pivotFields count="18">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pivotField dataField="1" numFmtId="9" showAll="0"/>
    <pivotField numFmtId="1" showAll="0"/>
    <pivotField numFmtId="2" showAll="0"/>
    <pivotField numFmtId="10" showAll="0"/>
    <pivotField showAll="0"/>
    <pivotField showAll="0"/>
    <pivotField numFmtId="2"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5">
    <i>
      <x v="2"/>
    </i>
    <i>
      <x/>
    </i>
    <i>
      <x v="3"/>
    </i>
    <i>
      <x v="1"/>
    </i>
    <i t="grand">
      <x/>
    </i>
  </rowItems>
  <colItems count="1">
    <i/>
  </colItems>
  <dataFields count="1">
    <dataField name="Average of Job_Change_%" fld="6"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44B6E6-3443-4EDD-B34B-64460F48F8E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B92" firstHeaderRow="1" firstDataRow="1" firstDataCol="1"/>
  <pivotFields count="18">
    <pivotField axis="axisRow" showAll="0">
      <items count="5">
        <item x="2"/>
        <item x="1"/>
        <item x="0"/>
        <item x="3"/>
        <item t="default"/>
      </items>
    </pivotField>
    <pivotField showAll="0"/>
    <pivotField showAll="0"/>
    <pivotField showAll="0"/>
    <pivotField numFmtId="1" showAll="0"/>
    <pivotField showAll="0"/>
    <pivotField numFmtId="9" showAll="0"/>
    <pivotField numFmtId="1" showAll="0"/>
    <pivotField numFmtId="2" showAll="0"/>
    <pivotField numFmtId="10" showAll="0"/>
    <pivotField showAll="0"/>
    <pivotField showAll="0"/>
    <pivotField numFmtId="2" showAll="0"/>
    <pivotField dataField="1"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5">
    <i>
      <x/>
    </i>
    <i>
      <x v="1"/>
    </i>
    <i>
      <x v="2"/>
    </i>
    <i>
      <x v="3"/>
    </i>
    <i t="grand">
      <x/>
    </i>
  </rowItems>
  <colItems count="1">
    <i/>
  </colItems>
  <dataFields count="1">
    <dataField name="Average of Hiring_Rate" fld="13"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2DB0CE-87CB-4C5E-BFA8-C3359A1E96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2:I7" firstHeaderRow="0" firstDataRow="1" firstDataCol="1"/>
  <pivotFields count="18">
    <pivotField axis="axisRow" showAll="0">
      <items count="5">
        <item x="2"/>
        <item x="1"/>
        <item x="0"/>
        <item x="3"/>
        <item t="default"/>
      </items>
    </pivotField>
    <pivotField showAll="0">
      <items count="5">
        <item x="2"/>
        <item x="3"/>
        <item x="1"/>
        <item x="0"/>
        <item t="default"/>
      </items>
    </pivotField>
    <pivotField showAll="0">
      <items count="6">
        <item x="2"/>
        <item x="0"/>
        <item x="3"/>
        <item x="4"/>
        <item x="1"/>
        <item t="default"/>
      </items>
    </pivotField>
    <pivotField showAll="0">
      <items count="4">
        <item x="0"/>
        <item x="2"/>
        <item x="1"/>
        <item t="default"/>
      </items>
    </pivotField>
    <pivotField numFmtId="1" showAll="0"/>
    <pivotField showAll="0"/>
    <pivotField numFmtId="9" showAll="0"/>
    <pivotField numFmtId="1" showAll="0"/>
    <pivotField numFmtId="2" showAll="0"/>
    <pivotField numFmtId="10" showAll="0"/>
    <pivotField showAll="0"/>
    <pivotField showAll="0"/>
    <pivotField dataField="1" numFmtId="2" showAll="0"/>
    <pivotField dataField="1"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5">
    <i>
      <x/>
    </i>
    <i>
      <x v="1"/>
    </i>
    <i>
      <x v="2"/>
    </i>
    <i>
      <x v="3"/>
    </i>
    <i t="grand">
      <x/>
    </i>
  </rowItems>
  <colFields count="1">
    <field x="-2"/>
  </colFields>
  <colItems count="2">
    <i>
      <x/>
    </i>
    <i i="1">
      <x v="1"/>
    </i>
  </colItems>
  <dataFields count="2">
    <dataField name="Sum of Layoffs" fld="12" baseField="0" baseItem="0" numFmtId="2"/>
    <dataField name="Sum of Hiring_Rate" fld="13" baseField="0" baseItem="0" numFmtId="1"/>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3AC878-7651-4E6A-A9EF-270B3D5F805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2:E8" firstHeaderRow="1" firstDataRow="1" firstDataCol="1"/>
  <pivotFields count="18">
    <pivotField showAll="0">
      <items count="5">
        <item x="2"/>
        <item x="1"/>
        <item x="0"/>
        <item x="3"/>
        <item t="default"/>
      </items>
    </pivotField>
    <pivotField showAll="0">
      <items count="5">
        <item x="2"/>
        <item x="3"/>
        <item x="1"/>
        <item x="0"/>
        <item t="default"/>
      </items>
    </pivotField>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 showAll="0"/>
    <pivotField showAll="0"/>
    <pivotField dataField="1" numFmtId="9" showAll="0"/>
    <pivotField numFmtId="1" showAll="0"/>
    <pivotField numFmtId="2" showAll="0"/>
    <pivotField numFmtId="10" showAll="0"/>
    <pivotField showAll="0"/>
    <pivotField showAll="0"/>
    <pivotField numFmtId="2"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v="2"/>
    </i>
    <i>
      <x v="3"/>
    </i>
    <i>
      <x v="4"/>
    </i>
    <i>
      <x/>
    </i>
    <i>
      <x v="1"/>
    </i>
    <i t="grand">
      <x/>
    </i>
  </rowItems>
  <colItems count="1">
    <i/>
  </colItems>
  <dataFields count="1">
    <dataField name="Average of Job_Change_%" fld="6" subtotal="average" baseField="2" baseItem="0" numFmtId="9"/>
  </dataFields>
  <chartFormats count="3">
    <chartFormat chart="2"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C76025-D9AA-486E-93B2-B0A7EAB2EFA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18">
    <pivotField showAll="0"/>
    <pivotField showAll="0">
      <items count="5">
        <item x="2"/>
        <item x="3"/>
        <item x="1"/>
        <item x="0"/>
        <item t="default"/>
      </items>
    </pivotField>
    <pivotField showAll="0"/>
    <pivotField showAll="0">
      <items count="4">
        <item x="0"/>
        <item x="2"/>
        <item x="1"/>
        <item t="default"/>
      </items>
    </pivotField>
    <pivotField numFmtId="1" showAll="0"/>
    <pivotField showAll="0"/>
    <pivotField numFmtId="9" showAll="0"/>
    <pivotField numFmtId="1" showAll="0"/>
    <pivotField numFmtId="2" showAll="0"/>
    <pivotField numFmtId="10" showAll="0"/>
    <pivotField dataField="1" showAll="0"/>
    <pivotField showAll="0"/>
    <pivotField numFmtId="2"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Unemployment_Rate"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B342EC-CDDB-4280-999D-296DE047154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7:B83" firstHeaderRow="1" firstDataRow="1" firstDataCol="1"/>
  <pivotFields count="18">
    <pivotField showAll="0"/>
    <pivotField showAll="0"/>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numFmtId="9" showAll="0"/>
    <pivotField numFmtId="1" showAll="0"/>
    <pivotField numFmtId="2" showAll="0"/>
    <pivotField dataField="1" numFmtId="10" showAll="0"/>
    <pivotField showAll="0"/>
    <pivotField showAll="0"/>
    <pivotField numFmtId="2"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v="2"/>
    </i>
    <i>
      <x/>
    </i>
    <i>
      <x v="1"/>
    </i>
    <i>
      <x v="4"/>
    </i>
    <i>
      <x v="3"/>
    </i>
    <i t="grand">
      <x/>
    </i>
  </rowItems>
  <colItems count="1">
    <i/>
  </colItems>
  <dataFields count="1">
    <dataField name="Average of Salary_Change_%" fld="9" subtotal="average" baseField="2" baseItem="0" numFmtId="10"/>
  </dataFields>
  <chartFormats count="3">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F2942C-8736-4A79-8730-7E759A2093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0:B36" firstHeaderRow="1" firstDataRow="1" firstDataCol="1"/>
  <pivotFields count="18">
    <pivotField showAll="0">
      <items count="5">
        <item x="2"/>
        <item x="1"/>
        <item x="0"/>
        <item x="3"/>
        <item t="default"/>
      </items>
    </pivotField>
    <pivotField showAll="0">
      <items count="5">
        <item x="2"/>
        <item x="3"/>
        <item x="1"/>
        <item x="0"/>
        <item t="default"/>
      </items>
    </pivotField>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 showAll="0"/>
    <pivotField showAll="0"/>
    <pivotField numFmtId="9" showAll="0"/>
    <pivotField numFmtId="1" showAll="0"/>
    <pivotField numFmtId="2" showAll="0"/>
    <pivotField dataField="1" numFmtId="10" showAll="0"/>
    <pivotField showAll="0"/>
    <pivotField showAll="0"/>
    <pivotField numFmtId="2"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v="2"/>
    </i>
    <i>
      <x/>
    </i>
    <i>
      <x v="1"/>
    </i>
    <i>
      <x v="4"/>
    </i>
    <i>
      <x v="3"/>
    </i>
    <i t="grand">
      <x/>
    </i>
  </rowItems>
  <colItems count="1">
    <i/>
  </colItems>
  <dataFields count="1">
    <dataField name="Average of Salary_Change_%" fld="9" subtotal="average" baseField="2" baseItem="0" numFmtId="10"/>
  </dataField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DC307C-FCA1-4EE4-8F80-C7C274C2526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41:C46" firstHeaderRow="0" firstDataRow="1" firstDataCol="1"/>
  <pivotFields count="18">
    <pivotField axis="axisRow" showAll="0">
      <items count="5">
        <item x="2"/>
        <item x="1"/>
        <item x="0"/>
        <item x="3"/>
        <item t="default"/>
      </items>
    </pivotField>
    <pivotField showAll="0">
      <items count="5">
        <item x="2"/>
        <item x="3"/>
        <item x="1"/>
        <item x="0"/>
        <item t="default"/>
      </items>
    </pivotField>
    <pivotField showAll="0">
      <items count="6">
        <item x="2"/>
        <item x="0"/>
        <item x="3"/>
        <item x="4"/>
        <item x="1"/>
        <item t="default"/>
      </items>
    </pivotField>
    <pivotField showAll="0">
      <items count="4">
        <item x="0"/>
        <item x="2"/>
        <item x="1"/>
        <item t="default"/>
      </items>
    </pivotField>
    <pivotField numFmtId="1" showAll="0"/>
    <pivotField showAll="0"/>
    <pivotField numFmtId="9" showAll="0"/>
    <pivotField numFmtId="1" showAll="0"/>
    <pivotField numFmtId="2" showAll="0"/>
    <pivotField numFmtId="10" showAll="0"/>
    <pivotField showAll="0"/>
    <pivotField showAll="0"/>
    <pivotField dataField="1" numFmtId="2" showAll="0"/>
    <pivotField dataField="1"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5">
    <i>
      <x/>
    </i>
    <i>
      <x v="1"/>
    </i>
    <i>
      <x v="2"/>
    </i>
    <i>
      <x v="3"/>
    </i>
    <i t="grand">
      <x/>
    </i>
  </rowItems>
  <colFields count="1">
    <field x="-2"/>
  </colFields>
  <colItems count="2">
    <i>
      <x/>
    </i>
    <i i="1">
      <x v="1"/>
    </i>
  </colItems>
  <dataFields count="2">
    <dataField name="Sum of Layoffs" fld="12" baseField="0" baseItem="0" numFmtId="1"/>
    <dataField name="Sum of Hiring_Rate" fld="13" baseField="0" baseItem="0" numFmtId="1"/>
  </dataFields>
  <formats count="1">
    <format dxfId="2">
      <pivotArea outline="0" collapsedLevelsAreSubtotals="1" fieldPosition="0">
        <references count="1">
          <reference field="4294967294" count="1" selected="0">
            <x v="0"/>
          </reference>
        </references>
      </pivotArea>
    </format>
  </formats>
  <chartFormats count="8">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11467CC-033E-47C9-BE17-60CD2C3669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8">
    <pivotField showAll="0"/>
    <pivotField showAll="0">
      <items count="5">
        <item x="2"/>
        <item x="3"/>
        <item x="1"/>
        <item x="0"/>
        <item t="default"/>
      </items>
    </pivotField>
    <pivotField showAll="0"/>
    <pivotField showAll="0">
      <items count="4">
        <item x="0"/>
        <item x="2"/>
        <item x="1"/>
        <item t="default"/>
      </items>
    </pivotField>
    <pivotField numFmtId="1" showAll="0"/>
    <pivotField showAll="0"/>
    <pivotField numFmtId="9" showAll="0"/>
    <pivotField numFmtId="1" showAll="0"/>
    <pivotField numFmtId="2" showAll="0"/>
    <pivotField numFmtId="10" showAll="0"/>
    <pivotField showAll="0"/>
    <pivotField showAll="0"/>
    <pivotField dataField="1" numFmtId="2"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Layoffs" fld="12" baseField="0" baseItem="0" numFmtId="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97D66ED-DE03-4C65-899A-DE91F6BF80B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B15" firstHeaderRow="1" firstDataRow="1" firstDataCol="1"/>
  <pivotFields count="18">
    <pivotField showAll="0"/>
    <pivotField showAll="0">
      <items count="5">
        <item x="2"/>
        <item x="3"/>
        <item x="1"/>
        <item x="0"/>
        <item t="default"/>
      </items>
    </pivotField>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 showAll="0"/>
    <pivotField showAll="0"/>
    <pivotField dataField="1" numFmtId="9" showAll="0">
      <items count="201">
        <item x="30"/>
        <item x="25"/>
        <item x="180"/>
        <item x="52"/>
        <item x="71"/>
        <item x="136"/>
        <item x="119"/>
        <item x="29"/>
        <item x="141"/>
        <item x="165"/>
        <item x="161"/>
        <item x="89"/>
        <item x="40"/>
        <item x="17"/>
        <item x="0"/>
        <item x="83"/>
        <item x="182"/>
        <item x="130"/>
        <item x="86"/>
        <item x="195"/>
        <item x="33"/>
        <item x="44"/>
        <item x="100"/>
        <item x="135"/>
        <item x="49"/>
        <item x="6"/>
        <item x="43"/>
        <item x="15"/>
        <item x="191"/>
        <item x="188"/>
        <item x="121"/>
        <item x="116"/>
        <item x="92"/>
        <item x="104"/>
        <item x="106"/>
        <item x="28"/>
        <item x="118"/>
        <item x="18"/>
        <item x="113"/>
        <item x="102"/>
        <item x="32"/>
        <item x="88"/>
        <item x="169"/>
        <item x="2"/>
        <item x="81"/>
        <item x="35"/>
        <item x="152"/>
        <item x="38"/>
        <item x="97"/>
        <item x="57"/>
        <item x="10"/>
        <item x="170"/>
        <item x="8"/>
        <item x="84"/>
        <item x="192"/>
        <item x="85"/>
        <item x="4"/>
        <item x="54"/>
        <item x="166"/>
        <item x="127"/>
        <item x="189"/>
        <item x="178"/>
        <item x="65"/>
        <item x="174"/>
        <item x="171"/>
        <item x="198"/>
        <item x="78"/>
        <item x="16"/>
        <item x="150"/>
        <item x="22"/>
        <item x="176"/>
        <item x="96"/>
        <item x="197"/>
        <item x="181"/>
        <item x="157"/>
        <item x="193"/>
        <item x="131"/>
        <item x="155"/>
        <item x="77"/>
        <item x="124"/>
        <item x="145"/>
        <item x="94"/>
        <item x="67"/>
        <item x="75"/>
        <item x="139"/>
        <item x="93"/>
        <item x="53"/>
        <item x="80"/>
        <item x="148"/>
        <item x="160"/>
        <item x="185"/>
        <item x="34"/>
        <item x="7"/>
        <item x="186"/>
        <item x="177"/>
        <item x="146"/>
        <item x="46"/>
        <item x="184"/>
        <item x="11"/>
        <item x="158"/>
        <item x="110"/>
        <item x="159"/>
        <item x="140"/>
        <item x="64"/>
        <item x="143"/>
        <item x="50"/>
        <item x="56"/>
        <item x="109"/>
        <item x="66"/>
        <item x="73"/>
        <item x="112"/>
        <item x="175"/>
        <item x="162"/>
        <item x="123"/>
        <item x="14"/>
        <item x="168"/>
        <item x="132"/>
        <item x="126"/>
        <item x="99"/>
        <item x="20"/>
        <item x="76"/>
        <item x="129"/>
        <item x="19"/>
        <item x="69"/>
        <item x="1"/>
        <item x="105"/>
        <item x="154"/>
        <item x="122"/>
        <item x="9"/>
        <item x="98"/>
        <item x="190"/>
        <item x="48"/>
        <item x="36"/>
        <item x="12"/>
        <item x="37"/>
        <item x="137"/>
        <item x="183"/>
        <item x="128"/>
        <item x="68"/>
        <item x="42"/>
        <item x="60"/>
        <item x="5"/>
        <item x="72"/>
        <item x="101"/>
        <item x="55"/>
        <item x="31"/>
        <item x="62"/>
        <item x="144"/>
        <item x="120"/>
        <item x="173"/>
        <item x="24"/>
        <item x="179"/>
        <item x="153"/>
        <item x="167"/>
        <item x="163"/>
        <item x="107"/>
        <item x="115"/>
        <item x="51"/>
        <item x="142"/>
        <item x="172"/>
        <item x="23"/>
        <item x="164"/>
        <item x="26"/>
        <item x="194"/>
        <item x="59"/>
        <item x="74"/>
        <item x="87"/>
        <item x="111"/>
        <item x="47"/>
        <item x="21"/>
        <item x="70"/>
        <item x="45"/>
        <item x="79"/>
        <item x="196"/>
        <item x="90"/>
        <item x="134"/>
        <item x="138"/>
        <item x="149"/>
        <item x="117"/>
        <item x="125"/>
        <item x="108"/>
        <item x="82"/>
        <item x="91"/>
        <item x="151"/>
        <item x="114"/>
        <item x="133"/>
        <item x="199"/>
        <item x="58"/>
        <item x="27"/>
        <item x="61"/>
        <item x="13"/>
        <item x="41"/>
        <item x="39"/>
        <item x="187"/>
        <item x="103"/>
        <item x="95"/>
        <item x="156"/>
        <item x="3"/>
        <item x="147"/>
        <item x="63"/>
        <item t="default"/>
      </items>
    </pivotField>
    <pivotField numFmtId="1" showAll="0"/>
    <pivotField numFmtId="2" showAll="0"/>
    <pivotField numFmtId="10" showAll="0"/>
    <pivotField showAll="0"/>
    <pivotField showAll="0"/>
    <pivotField numFmtId="2"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v="2"/>
    </i>
    <i>
      <x v="3"/>
    </i>
    <i>
      <x v="4"/>
    </i>
    <i>
      <x/>
    </i>
    <i>
      <x v="1"/>
    </i>
    <i t="grand">
      <x/>
    </i>
  </rowItems>
  <colItems count="1">
    <i/>
  </colItems>
  <dataFields count="1">
    <dataField name="Average of Job_Change_%" fld="6" subtotal="average" baseField="2"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B29F935-6D47-47EE-BC8D-5F6B7218ED5A}" sourceName="Year">
  <pivotTables>
    <pivotTable tabId="3" name="PivotTable6"/>
    <pivotTable tabId="3" name="PivotTable8"/>
    <pivotTable tabId="3" name="PivotTable9"/>
    <pivotTable tabId="3" name="PivotTable10"/>
    <pivotTable tabId="3" name="PivotTable2"/>
    <pivotTable tabId="3" name="PivotTable7"/>
  </pivotTables>
  <data>
    <tabular pivotCacheId="177558629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9AC0873-B42B-4B64-85AB-3061DF65AC17}" sourceName="Country">
  <pivotTables>
    <pivotTable tabId="3" name="PivotTable9"/>
    <pivotTable tabId="3" name="PivotTable1"/>
    <pivotTable tabId="3" name="PivotTable10"/>
    <pivotTable tabId="3" name="PivotTable3"/>
    <pivotTable tabId="3" name="PivotTable4"/>
    <pivotTable tabId="3" name="PivotTable5"/>
    <pivotTable tabId="3" name="PivotTable6"/>
    <pivotTable tabId="3" name="PivotTable8"/>
    <pivotTable tabId="3" name="PivotTable2"/>
    <pivotTable tabId="3" name="PivotTable7"/>
  </pivotTables>
  <data>
    <tabular pivotCacheId="1775586292">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9DF8C31A-0F6E-48A2-8488-4CEB384CCEE1}" sourceName="Company_Size">
  <pivotTables>
    <pivotTable tabId="3" name="PivotTable9"/>
    <pivotTable tabId="3" name="PivotTable10"/>
    <pivotTable tabId="3" name="PivotTable8"/>
    <pivotTable tabId="3" name="PivotTable1"/>
    <pivotTable tabId="3" name="PivotTable3"/>
    <pivotTable tabId="3" name="PivotTable4"/>
    <pivotTable tabId="3" name="PivotTable5"/>
    <pivotTable tabId="3" name="PivotTable6"/>
    <pivotTable tabId="3" name="PivotTable2"/>
    <pivotTable tabId="3" name="PivotTable7"/>
  </pivotTables>
  <data>
    <tabular pivotCacheId="177558629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437ED81-6FC3-4C0D-BB7E-185D3DBF2271}" cache="Slicer_Year" caption="Year" columnCount="2" showCaption="0" rowHeight="241300"/>
  <slicer name="Country 1" xr10:uid="{B88F2B99-4B6F-441A-A1FC-6191D7DFDAE7}" cache="Slicer_Country" caption="Country" showCaption="0" rowHeight="241300"/>
  <slicer name="Company_Size 1" xr10:uid="{787E81E2-F4E7-4F65-9337-45BBF4CC32DC}" cache="Slicer_Company_Size" caption="Company_Size"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E60FD5-0CF2-481B-984F-B9ECCD4BAE55}" name="Table1" displayName="Table1" ref="A1:N201" totalsRowShown="0">
  <autoFilter ref="A1:N201" xr:uid="{4AE60FD5-0CF2-481B-984F-B9ECCD4BAE55}"/>
  <tableColumns count="14">
    <tableColumn id="1" xr3:uid="{678CD094-D4F3-43E5-9B58-CED9A50A68FE}" name="Year"/>
    <tableColumn id="2" xr3:uid="{546D44E0-849A-435E-B74D-DA491FDC6C35}" name="Country"/>
    <tableColumn id="3" xr3:uid="{1AACB908-D4E1-4C22-9702-43E11E6B4BC4}" name="Industry"/>
    <tableColumn id="4" xr3:uid="{9B4A2EAB-A84D-4C4A-9E3B-DB72DA3CE51E}" name="Company_Size"/>
    <tableColumn id="5" xr3:uid="{BBDB7D02-C78E-4AAD-B482-610936EEB788}" name="Before_Jobs" dataDxfId="11"/>
    <tableColumn id="6" xr3:uid="{979157F0-3278-4E70-9E7C-4F73F82B71EC}" name="After_Jobs"/>
    <tableColumn id="7" xr3:uid="{2272B199-3D30-4CD5-A836-3CC9BAFC9C84}" name="Job_Change_%" dataDxfId="10" dataCellStyle="Percent">
      <calculatedColumnFormula>(F2-E2)/E2</calculatedColumnFormula>
    </tableColumn>
    <tableColumn id="8" xr3:uid="{1C187624-093E-49F8-8CE7-879075D41DC5}" name="Before_Salary" dataDxfId="9"/>
    <tableColumn id="9" xr3:uid="{928B1A38-81EA-462C-AB0E-D90DFE61BD8C}" name="After_Salary" dataDxfId="8"/>
    <tableColumn id="10" xr3:uid="{B040D744-2D6E-46E6-B9AA-D08E32EB2C5D}" name="Salary_Change_%" dataDxfId="7">
      <calculatedColumnFormula>(I2-H2)/H2</calculatedColumnFormula>
    </tableColumn>
    <tableColumn id="11" xr3:uid="{10925EAD-996E-4E44-81A4-953DBF69F242}" name="Unemployment_Rate" dataDxfId="6"/>
    <tableColumn id="12" xr3:uid="{5261A0F2-E771-42AD-B3CF-93C3BA66558D}" name="GDP_Growth"/>
    <tableColumn id="13" xr3:uid="{D221B2DE-DC41-41C1-8461-C7E4F3223F5E}" name="Layoffs" dataDxfId="5"/>
    <tableColumn id="14" xr3:uid="{5DDABB4C-1AC1-4919-B9F0-3728750DCAA2}" name="Hiring_Rate"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6.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5"/>
  <sheetViews>
    <sheetView tabSelected="1" topLeftCell="C1" workbookViewId="0">
      <selection activeCell="J12" sqref="J12"/>
    </sheetView>
  </sheetViews>
  <sheetFormatPr defaultRowHeight="15" x14ac:dyDescent="0.25"/>
  <cols>
    <col min="1" max="1" width="7.140625" customWidth="1"/>
    <col min="2" max="2" width="10.140625" customWidth="1"/>
    <col min="3" max="3" width="14" bestFit="1" customWidth="1"/>
    <col min="4" max="4" width="16" customWidth="1"/>
    <col min="5" max="5" width="14" style="5" customWidth="1"/>
    <col min="6" max="6" width="12.5703125" customWidth="1"/>
    <col min="7" max="7" width="16.28515625" customWidth="1"/>
    <col min="8" max="8" width="15.42578125" style="5" customWidth="1"/>
    <col min="9" max="9" width="14" style="3" customWidth="1"/>
    <col min="10" max="10" width="18.5703125" customWidth="1"/>
    <col min="11" max="11" width="22.140625" customWidth="1"/>
    <col min="12" max="12" width="14.7109375" customWidth="1"/>
    <col min="13" max="13" width="9.42578125" style="3" customWidth="1"/>
    <col min="14" max="14" width="13.42578125" customWidth="1"/>
  </cols>
  <sheetData>
    <row r="1" spans="1:14" x14ac:dyDescent="0.25">
      <c r="A1" t="s">
        <v>0</v>
      </c>
      <c r="B1" t="s">
        <v>1</v>
      </c>
      <c r="C1" t="s">
        <v>2</v>
      </c>
      <c r="D1" t="s">
        <v>3</v>
      </c>
      <c r="E1" s="5" t="s">
        <v>4</v>
      </c>
      <c r="F1" t="s">
        <v>5</v>
      </c>
      <c r="G1" t="s">
        <v>6</v>
      </c>
      <c r="H1" s="5" t="s">
        <v>7</v>
      </c>
      <c r="I1" s="3" t="s">
        <v>8</v>
      </c>
      <c r="J1" t="s">
        <v>9</v>
      </c>
      <c r="K1" t="s">
        <v>10</v>
      </c>
      <c r="L1" t="s">
        <v>11</v>
      </c>
      <c r="M1" s="3" t="s">
        <v>12</v>
      </c>
      <c r="N1" t="s">
        <v>13</v>
      </c>
    </row>
    <row r="2" spans="1:14" x14ac:dyDescent="0.25">
      <c r="A2">
        <v>2020</v>
      </c>
      <c r="B2" t="s">
        <v>14</v>
      </c>
      <c r="C2" t="s">
        <v>15</v>
      </c>
      <c r="D2" t="s">
        <v>16</v>
      </c>
      <c r="E2" s="5">
        <v>885</v>
      </c>
      <c r="F2">
        <v>568</v>
      </c>
      <c r="G2" s="1">
        <f>(F2-E2)/E2</f>
        <v>-0.35819209039548022</v>
      </c>
      <c r="H2" s="5">
        <v>57471</v>
      </c>
      <c r="I2" s="3">
        <v>48840</v>
      </c>
      <c r="J2" s="2">
        <f>(I2-H2)/H2</f>
        <v>-0.15018009082841782</v>
      </c>
      <c r="K2" s="10">
        <v>7.15</v>
      </c>
      <c r="L2">
        <v>-0.31</v>
      </c>
      <c r="M2" s="3">
        <v>197</v>
      </c>
      <c r="N2" s="5">
        <v>61</v>
      </c>
    </row>
    <row r="3" spans="1:14" x14ac:dyDescent="0.25">
      <c r="A3">
        <v>2009</v>
      </c>
      <c r="B3" t="s">
        <v>17</v>
      </c>
      <c r="C3" t="s">
        <v>18</v>
      </c>
      <c r="D3" t="s">
        <v>16</v>
      </c>
      <c r="E3" s="5">
        <v>4223</v>
      </c>
      <c r="F3">
        <v>3905</v>
      </c>
      <c r="G3" s="1">
        <f t="shared" ref="G3:G66" si="0">(F3-E3)/E3</f>
        <v>-7.5301918067724363E-2</v>
      </c>
      <c r="H3" s="5">
        <v>87879</v>
      </c>
      <c r="I3" s="3">
        <v>80506</v>
      </c>
      <c r="J3" s="2">
        <f t="shared" ref="J3:J66" si="1">(I3-H3)/H3</f>
        <v>-8.3899452656493581E-2</v>
      </c>
      <c r="K3" s="10">
        <v>7.79</v>
      </c>
      <c r="L3">
        <v>0.53</v>
      </c>
      <c r="M3" s="3">
        <v>41</v>
      </c>
      <c r="N3" s="5">
        <v>62</v>
      </c>
    </row>
    <row r="4" spans="1:14" x14ac:dyDescent="0.25">
      <c r="A4">
        <v>2008</v>
      </c>
      <c r="B4" t="s">
        <v>19</v>
      </c>
      <c r="C4" t="s">
        <v>20</v>
      </c>
      <c r="D4" t="s">
        <v>21</v>
      </c>
      <c r="E4" s="5">
        <v>1702</v>
      </c>
      <c r="F4">
        <v>1393</v>
      </c>
      <c r="G4" s="1">
        <f t="shared" si="0"/>
        <v>-0.18155111633372503</v>
      </c>
      <c r="H4" s="5">
        <v>78973</v>
      </c>
      <c r="I4" s="3">
        <v>72752</v>
      </c>
      <c r="J4" s="2">
        <f t="shared" si="1"/>
        <v>-7.8773758119863757E-2</v>
      </c>
      <c r="K4" s="10">
        <v>11.41</v>
      </c>
      <c r="L4">
        <v>-1.32</v>
      </c>
      <c r="M4" s="3">
        <v>172</v>
      </c>
      <c r="N4" s="5">
        <v>100</v>
      </c>
    </row>
    <row r="5" spans="1:14" x14ac:dyDescent="0.25">
      <c r="A5">
        <v>2021</v>
      </c>
      <c r="B5" t="s">
        <v>14</v>
      </c>
      <c r="C5" t="s">
        <v>18</v>
      </c>
      <c r="D5" t="s">
        <v>21</v>
      </c>
      <c r="E5" s="5">
        <v>3721</v>
      </c>
      <c r="F5">
        <v>3671</v>
      </c>
      <c r="G5" s="1">
        <f t="shared" si="0"/>
        <v>-1.3437248051599033E-2</v>
      </c>
      <c r="H5" s="5">
        <v>59999</v>
      </c>
      <c r="I5" s="3">
        <v>55405</v>
      </c>
      <c r="J5" s="2">
        <f t="shared" si="1"/>
        <v>-7.6567942799046648E-2</v>
      </c>
      <c r="K5" s="10">
        <v>9.08</v>
      </c>
      <c r="L5">
        <v>0.81</v>
      </c>
      <c r="M5" s="3">
        <v>147</v>
      </c>
      <c r="N5" s="5">
        <v>174</v>
      </c>
    </row>
    <row r="6" spans="1:14" x14ac:dyDescent="0.25">
      <c r="A6">
        <v>2020</v>
      </c>
      <c r="B6" t="s">
        <v>19</v>
      </c>
      <c r="C6" t="s">
        <v>22</v>
      </c>
      <c r="D6" t="s">
        <v>16</v>
      </c>
      <c r="E6" s="5">
        <v>2455</v>
      </c>
      <c r="F6">
        <v>2088</v>
      </c>
      <c r="G6" s="1">
        <f t="shared" si="0"/>
        <v>-0.14949083503054988</v>
      </c>
      <c r="H6" s="5">
        <v>40127</v>
      </c>
      <c r="I6" s="3">
        <v>33630</v>
      </c>
      <c r="J6" s="2">
        <f t="shared" si="1"/>
        <v>-0.16191093278839683</v>
      </c>
      <c r="K6" s="10">
        <v>10.42</v>
      </c>
      <c r="L6">
        <v>2.0099999999999998</v>
      </c>
      <c r="M6" s="3">
        <v>37</v>
      </c>
      <c r="N6" s="5">
        <v>74</v>
      </c>
    </row>
    <row r="7" spans="1:14" x14ac:dyDescent="0.25">
      <c r="A7">
        <v>2020</v>
      </c>
      <c r="B7" t="s">
        <v>23</v>
      </c>
      <c r="C7" t="s">
        <v>18</v>
      </c>
      <c r="D7" t="s">
        <v>16</v>
      </c>
      <c r="E7" s="5">
        <v>4625</v>
      </c>
      <c r="F7">
        <v>4339</v>
      </c>
      <c r="G7" s="1">
        <f t="shared" si="0"/>
        <v>-6.183783783783784E-2</v>
      </c>
      <c r="H7" s="5">
        <v>85627</v>
      </c>
      <c r="I7" s="3">
        <v>77735</v>
      </c>
      <c r="J7" s="2">
        <f t="shared" si="1"/>
        <v>-9.2167190255410092E-2</v>
      </c>
      <c r="K7" s="10">
        <v>6.56</v>
      </c>
      <c r="L7">
        <v>-2.8</v>
      </c>
      <c r="M7" s="3">
        <v>179</v>
      </c>
      <c r="N7" s="5">
        <v>76</v>
      </c>
    </row>
    <row r="8" spans="1:14" x14ac:dyDescent="0.25">
      <c r="A8">
        <v>2008</v>
      </c>
      <c r="B8" t="s">
        <v>17</v>
      </c>
      <c r="C8" t="s">
        <v>18</v>
      </c>
      <c r="D8" t="s">
        <v>16</v>
      </c>
      <c r="E8" s="5">
        <v>1610</v>
      </c>
      <c r="F8">
        <v>1221</v>
      </c>
      <c r="G8" s="1">
        <f t="shared" si="0"/>
        <v>-0.24161490683229814</v>
      </c>
      <c r="H8" s="5">
        <v>90521</v>
      </c>
      <c r="I8" s="3">
        <v>80906</v>
      </c>
      <c r="J8" s="2">
        <f t="shared" si="1"/>
        <v>-0.10621844654831475</v>
      </c>
      <c r="K8" s="10">
        <v>9.57</v>
      </c>
      <c r="L8">
        <v>-2.92</v>
      </c>
      <c r="M8" s="3">
        <v>50</v>
      </c>
      <c r="N8" s="5">
        <v>136</v>
      </c>
    </row>
    <row r="9" spans="1:14" x14ac:dyDescent="0.25">
      <c r="A9">
        <v>2021</v>
      </c>
      <c r="B9" t="s">
        <v>17</v>
      </c>
      <c r="C9" t="s">
        <v>24</v>
      </c>
      <c r="D9" t="s">
        <v>21</v>
      </c>
      <c r="E9" s="5">
        <v>4898</v>
      </c>
      <c r="F9">
        <v>4418</v>
      </c>
      <c r="G9" s="1">
        <f t="shared" si="0"/>
        <v>-9.7999183340138837E-2</v>
      </c>
      <c r="H9" s="5">
        <v>60180</v>
      </c>
      <c r="I9" s="3">
        <v>52831</v>
      </c>
      <c r="J9" s="2">
        <f t="shared" si="1"/>
        <v>-0.12211698238617481</v>
      </c>
      <c r="K9" s="10">
        <v>5.33</v>
      </c>
      <c r="L9">
        <v>1.56</v>
      </c>
      <c r="M9" s="3">
        <v>271</v>
      </c>
      <c r="N9" s="5">
        <v>14</v>
      </c>
    </row>
    <row r="10" spans="1:14" x14ac:dyDescent="0.25">
      <c r="A10">
        <v>2020</v>
      </c>
      <c r="B10" t="s">
        <v>14</v>
      </c>
      <c r="C10" t="s">
        <v>22</v>
      </c>
      <c r="D10" t="s">
        <v>21</v>
      </c>
      <c r="E10" s="5">
        <v>3260</v>
      </c>
      <c r="F10">
        <v>2763</v>
      </c>
      <c r="G10" s="1">
        <f t="shared" si="0"/>
        <v>-0.15245398773006136</v>
      </c>
      <c r="H10" s="5">
        <v>89556</v>
      </c>
      <c r="I10" s="3">
        <v>87513</v>
      </c>
      <c r="J10" s="2">
        <f t="shared" si="1"/>
        <v>-2.2812541873241325E-2</v>
      </c>
      <c r="K10" s="10">
        <v>4.5599999999999996</v>
      </c>
      <c r="L10">
        <v>-1.83</v>
      </c>
      <c r="M10" s="3">
        <v>135</v>
      </c>
      <c r="N10" s="5">
        <v>71</v>
      </c>
    </row>
    <row r="11" spans="1:14" x14ac:dyDescent="0.25">
      <c r="A11">
        <v>2021</v>
      </c>
      <c r="B11" t="s">
        <v>14</v>
      </c>
      <c r="C11" t="s">
        <v>22</v>
      </c>
      <c r="D11" t="s">
        <v>25</v>
      </c>
      <c r="E11" s="5">
        <v>4829</v>
      </c>
      <c r="F11">
        <v>4479</v>
      </c>
      <c r="G11" s="1">
        <f t="shared" si="0"/>
        <v>-7.2478774073307106E-2</v>
      </c>
      <c r="H11" s="5">
        <v>50453</v>
      </c>
      <c r="I11" s="3">
        <v>48612</v>
      </c>
      <c r="J11" s="2">
        <f t="shared" si="1"/>
        <v>-3.6489405981804848E-2</v>
      </c>
      <c r="K11" s="10">
        <v>8.5500000000000007</v>
      </c>
      <c r="L11">
        <v>2.5299999999999998</v>
      </c>
      <c r="M11" s="3">
        <v>52</v>
      </c>
      <c r="N11" s="5">
        <v>127</v>
      </c>
    </row>
    <row r="12" spans="1:14" x14ac:dyDescent="0.25">
      <c r="A12">
        <v>2021</v>
      </c>
      <c r="B12" t="s">
        <v>14</v>
      </c>
      <c r="C12" t="s">
        <v>15</v>
      </c>
      <c r="D12" t="s">
        <v>25</v>
      </c>
      <c r="E12" s="5">
        <v>2230</v>
      </c>
      <c r="F12">
        <v>1870</v>
      </c>
      <c r="G12" s="1">
        <f t="shared" si="0"/>
        <v>-0.16143497757847533</v>
      </c>
      <c r="H12" s="5">
        <v>75007</v>
      </c>
      <c r="I12" s="3">
        <v>66757</v>
      </c>
      <c r="J12" s="2">
        <f t="shared" si="1"/>
        <v>-0.10998973429146613</v>
      </c>
      <c r="K12" s="10">
        <v>10.24</v>
      </c>
      <c r="L12">
        <v>2.35</v>
      </c>
      <c r="M12" s="3">
        <v>97</v>
      </c>
      <c r="N12" s="5">
        <v>93</v>
      </c>
    </row>
    <row r="13" spans="1:14" x14ac:dyDescent="0.25">
      <c r="A13">
        <v>2021</v>
      </c>
      <c r="B13" t="s">
        <v>14</v>
      </c>
      <c r="C13" t="s">
        <v>15</v>
      </c>
      <c r="D13" t="s">
        <v>21</v>
      </c>
      <c r="E13" s="5">
        <v>2160</v>
      </c>
      <c r="F13">
        <v>1964</v>
      </c>
      <c r="G13" s="1">
        <f t="shared" si="0"/>
        <v>-9.0740740740740747E-2</v>
      </c>
      <c r="H13" s="5">
        <v>53081</v>
      </c>
      <c r="I13" s="3">
        <v>47668</v>
      </c>
      <c r="J13" s="2">
        <f t="shared" si="1"/>
        <v>-0.10197622501460032</v>
      </c>
      <c r="K13" s="10">
        <v>6.15</v>
      </c>
      <c r="L13">
        <v>-2.33</v>
      </c>
      <c r="M13" s="3">
        <v>46</v>
      </c>
      <c r="N13" s="5">
        <v>50</v>
      </c>
    </row>
    <row r="14" spans="1:14" x14ac:dyDescent="0.25">
      <c r="A14">
        <v>2020</v>
      </c>
      <c r="B14" t="s">
        <v>14</v>
      </c>
      <c r="C14" t="s">
        <v>22</v>
      </c>
      <c r="D14" t="s">
        <v>16</v>
      </c>
      <c r="E14" s="5">
        <v>806</v>
      </c>
      <c r="F14">
        <v>750</v>
      </c>
      <c r="G14" s="1">
        <f t="shared" si="0"/>
        <v>-6.9478908188585611E-2</v>
      </c>
      <c r="H14" s="5">
        <v>90141</v>
      </c>
      <c r="I14" s="3">
        <v>83340</v>
      </c>
      <c r="J14" s="2">
        <f t="shared" si="1"/>
        <v>-7.5448464072952373E-2</v>
      </c>
      <c r="K14" s="10">
        <v>5.59</v>
      </c>
      <c r="L14">
        <v>-3.54</v>
      </c>
      <c r="M14" s="3">
        <v>276</v>
      </c>
      <c r="N14" s="5">
        <v>60</v>
      </c>
    </row>
    <row r="15" spans="1:14" x14ac:dyDescent="0.25">
      <c r="A15">
        <v>2020</v>
      </c>
      <c r="B15" t="s">
        <v>19</v>
      </c>
      <c r="C15" t="s">
        <v>24</v>
      </c>
      <c r="D15" t="s">
        <v>16</v>
      </c>
      <c r="E15" s="5">
        <v>4888</v>
      </c>
      <c r="F15">
        <v>4764</v>
      </c>
      <c r="G15" s="1">
        <f t="shared" si="0"/>
        <v>-2.5368248772504091E-2</v>
      </c>
      <c r="H15" s="5">
        <v>54949</v>
      </c>
      <c r="I15" s="3">
        <v>46126</v>
      </c>
      <c r="J15" s="2">
        <f t="shared" si="1"/>
        <v>-0.1605670712842818</v>
      </c>
      <c r="K15" s="10">
        <v>9.91</v>
      </c>
      <c r="L15">
        <v>-2.5099999999999998</v>
      </c>
      <c r="M15" s="3">
        <v>251</v>
      </c>
      <c r="N15" s="5">
        <v>129</v>
      </c>
    </row>
    <row r="16" spans="1:14" x14ac:dyDescent="0.25">
      <c r="A16">
        <v>2020</v>
      </c>
      <c r="B16" t="s">
        <v>19</v>
      </c>
      <c r="C16" t="s">
        <v>22</v>
      </c>
      <c r="D16" t="s">
        <v>25</v>
      </c>
      <c r="E16" s="5">
        <v>4719</v>
      </c>
      <c r="F16">
        <v>4329</v>
      </c>
      <c r="G16" s="1">
        <f t="shared" si="0"/>
        <v>-8.2644628099173556E-2</v>
      </c>
      <c r="H16" s="5">
        <v>31509</v>
      </c>
      <c r="I16" s="3">
        <v>26905</v>
      </c>
      <c r="J16" s="2">
        <f t="shared" si="1"/>
        <v>-0.14611698244945889</v>
      </c>
      <c r="K16" s="10">
        <v>7.59</v>
      </c>
      <c r="L16">
        <v>-0.35</v>
      </c>
      <c r="M16" s="3">
        <v>187</v>
      </c>
      <c r="N16" s="5">
        <v>180</v>
      </c>
    </row>
    <row r="17" spans="1:14" x14ac:dyDescent="0.25">
      <c r="A17">
        <v>2009</v>
      </c>
      <c r="B17" t="s">
        <v>19</v>
      </c>
      <c r="C17" t="s">
        <v>24</v>
      </c>
      <c r="D17" t="s">
        <v>16</v>
      </c>
      <c r="E17" s="5">
        <v>1456</v>
      </c>
      <c r="F17">
        <v>1122</v>
      </c>
      <c r="G17" s="1">
        <f t="shared" si="0"/>
        <v>-0.22939560439560439</v>
      </c>
      <c r="H17" s="5">
        <v>45807</v>
      </c>
      <c r="I17" s="3">
        <v>37372</v>
      </c>
      <c r="J17" s="2">
        <f t="shared" si="1"/>
        <v>-0.1841421616783461</v>
      </c>
      <c r="K17" s="10">
        <v>4.04</v>
      </c>
      <c r="L17">
        <v>-2.96</v>
      </c>
      <c r="M17" s="3">
        <v>59</v>
      </c>
      <c r="N17" s="5">
        <v>79</v>
      </c>
    </row>
    <row r="18" spans="1:14" x14ac:dyDescent="0.25">
      <c r="A18">
        <v>2008</v>
      </c>
      <c r="B18" t="s">
        <v>23</v>
      </c>
      <c r="C18" t="s">
        <v>24</v>
      </c>
      <c r="D18" t="s">
        <v>25</v>
      </c>
      <c r="E18" s="5">
        <v>3381</v>
      </c>
      <c r="F18">
        <v>2959</v>
      </c>
      <c r="G18" s="1">
        <f t="shared" si="0"/>
        <v>-0.12481514344868382</v>
      </c>
      <c r="H18" s="5">
        <v>40967</v>
      </c>
      <c r="I18" s="3">
        <v>31074</v>
      </c>
      <c r="J18" s="2">
        <f t="shared" si="1"/>
        <v>-0.24148705055288402</v>
      </c>
      <c r="K18" s="10">
        <v>7.21</v>
      </c>
      <c r="L18">
        <v>-4.43</v>
      </c>
      <c r="M18" s="3">
        <v>238</v>
      </c>
      <c r="N18" s="5">
        <v>128</v>
      </c>
    </row>
    <row r="19" spans="1:14" x14ac:dyDescent="0.25">
      <c r="A19">
        <v>2009</v>
      </c>
      <c r="B19" t="s">
        <v>19</v>
      </c>
      <c r="C19" t="s">
        <v>22</v>
      </c>
      <c r="D19" t="s">
        <v>16</v>
      </c>
      <c r="E19" s="5">
        <v>509</v>
      </c>
      <c r="F19">
        <v>326</v>
      </c>
      <c r="G19" s="1">
        <f t="shared" si="0"/>
        <v>-0.35952848722986247</v>
      </c>
      <c r="H19" s="5">
        <v>92759</v>
      </c>
      <c r="I19" s="3">
        <v>90413</v>
      </c>
      <c r="J19" s="2">
        <f t="shared" si="1"/>
        <v>-2.5291346392263825E-2</v>
      </c>
      <c r="K19" s="10">
        <v>11.38</v>
      </c>
      <c r="L19">
        <v>-3.24</v>
      </c>
      <c r="M19" s="3">
        <v>187</v>
      </c>
      <c r="N19" s="5">
        <v>72</v>
      </c>
    </row>
    <row r="20" spans="1:14" x14ac:dyDescent="0.25">
      <c r="A20">
        <v>2009</v>
      </c>
      <c r="B20" t="s">
        <v>23</v>
      </c>
      <c r="C20" t="s">
        <v>18</v>
      </c>
      <c r="D20" t="s">
        <v>21</v>
      </c>
      <c r="E20" s="5">
        <v>1976</v>
      </c>
      <c r="F20">
        <v>1580</v>
      </c>
      <c r="G20" s="1">
        <f t="shared" si="0"/>
        <v>-0.20040485829959515</v>
      </c>
      <c r="H20" s="5">
        <v>72412</v>
      </c>
      <c r="I20" s="3">
        <v>65954</v>
      </c>
      <c r="J20" s="2">
        <f t="shared" si="1"/>
        <v>-8.9184113130420378E-2</v>
      </c>
      <c r="K20" s="10">
        <v>6.16</v>
      </c>
      <c r="L20">
        <v>-4.12</v>
      </c>
      <c r="M20" s="3">
        <v>189</v>
      </c>
      <c r="N20" s="5">
        <v>158</v>
      </c>
    </row>
    <row r="21" spans="1:14" x14ac:dyDescent="0.25">
      <c r="A21">
        <v>2021</v>
      </c>
      <c r="B21" t="s">
        <v>23</v>
      </c>
      <c r="C21" t="s">
        <v>22</v>
      </c>
      <c r="D21" t="s">
        <v>16</v>
      </c>
      <c r="E21" s="5">
        <v>3154</v>
      </c>
      <c r="F21">
        <v>2912</v>
      </c>
      <c r="G21" s="1">
        <f t="shared" si="0"/>
        <v>-7.6727964489537101E-2</v>
      </c>
      <c r="H21" s="5">
        <v>64072</v>
      </c>
      <c r="I21" s="3">
        <v>62875</v>
      </c>
      <c r="J21" s="2">
        <f t="shared" si="1"/>
        <v>-1.8682107628917467E-2</v>
      </c>
      <c r="K21" s="10">
        <v>10.77</v>
      </c>
      <c r="L21">
        <v>0.55000000000000004</v>
      </c>
      <c r="M21" s="3">
        <v>248</v>
      </c>
      <c r="N21" s="5">
        <v>87</v>
      </c>
    </row>
    <row r="22" spans="1:14" x14ac:dyDescent="0.25">
      <c r="A22">
        <v>2021</v>
      </c>
      <c r="B22" t="s">
        <v>14</v>
      </c>
      <c r="C22" t="s">
        <v>20</v>
      </c>
      <c r="D22" t="s">
        <v>25</v>
      </c>
      <c r="E22" s="5">
        <v>4470</v>
      </c>
      <c r="F22">
        <v>4119</v>
      </c>
      <c r="G22" s="1">
        <f t="shared" si="0"/>
        <v>-7.8523489932885909E-2</v>
      </c>
      <c r="H22" s="5">
        <v>99153</v>
      </c>
      <c r="I22" s="3">
        <v>89948</v>
      </c>
      <c r="J22" s="2">
        <f t="shared" si="1"/>
        <v>-9.283632366141216E-2</v>
      </c>
      <c r="K22" s="10">
        <v>7.26</v>
      </c>
      <c r="L22">
        <v>-3.38</v>
      </c>
      <c r="M22" s="3">
        <v>96</v>
      </c>
      <c r="N22" s="5">
        <v>199</v>
      </c>
    </row>
    <row r="23" spans="1:14" x14ac:dyDescent="0.25">
      <c r="A23">
        <v>2009</v>
      </c>
      <c r="B23" t="s">
        <v>17</v>
      </c>
      <c r="C23" t="s">
        <v>20</v>
      </c>
      <c r="D23" t="s">
        <v>25</v>
      </c>
      <c r="E23" s="5">
        <v>2049</v>
      </c>
      <c r="F23">
        <v>1968</v>
      </c>
      <c r="G23" s="1">
        <f t="shared" si="0"/>
        <v>-3.9531478770131773E-2</v>
      </c>
      <c r="H23" s="5">
        <v>46182</v>
      </c>
      <c r="I23" s="3">
        <v>39840</v>
      </c>
      <c r="J23" s="2">
        <f t="shared" si="1"/>
        <v>-0.13732623099909055</v>
      </c>
      <c r="K23" s="10">
        <v>7.87</v>
      </c>
      <c r="L23">
        <v>1.45</v>
      </c>
      <c r="M23" s="3">
        <v>195</v>
      </c>
      <c r="N23" s="5">
        <v>115</v>
      </c>
    </row>
    <row r="24" spans="1:14" x14ac:dyDescent="0.25">
      <c r="A24">
        <v>2021</v>
      </c>
      <c r="B24" t="s">
        <v>19</v>
      </c>
      <c r="C24" t="s">
        <v>20</v>
      </c>
      <c r="D24" t="s">
        <v>21</v>
      </c>
      <c r="E24" s="5">
        <v>2076</v>
      </c>
      <c r="F24">
        <v>1820</v>
      </c>
      <c r="G24" s="1">
        <f t="shared" si="0"/>
        <v>-0.1233140655105973</v>
      </c>
      <c r="H24" s="5">
        <v>64389</v>
      </c>
      <c r="I24" s="3">
        <v>56878</v>
      </c>
      <c r="J24" s="2">
        <f t="shared" si="1"/>
        <v>-0.11665035953346069</v>
      </c>
      <c r="K24" s="10">
        <v>8.77</v>
      </c>
      <c r="L24">
        <v>-0.04</v>
      </c>
      <c r="M24" s="3">
        <v>257</v>
      </c>
      <c r="N24" s="5">
        <v>85</v>
      </c>
    </row>
    <row r="25" spans="1:14" x14ac:dyDescent="0.25">
      <c r="A25">
        <v>2020</v>
      </c>
      <c r="B25" t="s">
        <v>19</v>
      </c>
      <c r="C25" t="s">
        <v>18</v>
      </c>
      <c r="D25" t="s">
        <v>21</v>
      </c>
      <c r="E25" s="5">
        <v>1658</v>
      </c>
      <c r="F25">
        <v>1577</v>
      </c>
      <c r="G25" s="1">
        <f t="shared" si="0"/>
        <v>-4.8854041013268998E-2</v>
      </c>
      <c r="H25" s="5">
        <v>96021</v>
      </c>
      <c r="I25" s="3">
        <v>86827</v>
      </c>
      <c r="J25" s="2">
        <f t="shared" si="1"/>
        <v>-9.5749888045323417E-2</v>
      </c>
      <c r="K25" s="10">
        <v>5.47</v>
      </c>
      <c r="L25">
        <v>0.43</v>
      </c>
      <c r="M25" s="3">
        <v>256</v>
      </c>
      <c r="N25" s="5">
        <v>166</v>
      </c>
    </row>
    <row r="26" spans="1:14" x14ac:dyDescent="0.25">
      <c r="A26">
        <v>2008</v>
      </c>
      <c r="B26" t="s">
        <v>17</v>
      </c>
      <c r="C26" t="s">
        <v>18</v>
      </c>
      <c r="D26" t="s">
        <v>25</v>
      </c>
      <c r="E26" s="5">
        <v>1215</v>
      </c>
      <c r="F26">
        <v>1147</v>
      </c>
      <c r="G26" s="1">
        <f t="shared" si="0"/>
        <v>-5.5967078189300412E-2</v>
      </c>
      <c r="H26" s="5">
        <v>79151</v>
      </c>
      <c r="I26" s="3">
        <v>73584</v>
      </c>
      <c r="J26" s="2">
        <f t="shared" si="1"/>
        <v>-7.0333918712334645E-2</v>
      </c>
      <c r="K26" s="10">
        <v>7.27</v>
      </c>
      <c r="L26">
        <v>2.67</v>
      </c>
      <c r="M26" s="3">
        <v>149</v>
      </c>
      <c r="N26" s="5">
        <v>57</v>
      </c>
    </row>
    <row r="27" spans="1:14" x14ac:dyDescent="0.25">
      <c r="A27">
        <v>2009</v>
      </c>
      <c r="B27" t="s">
        <v>14</v>
      </c>
      <c r="C27" t="s">
        <v>18</v>
      </c>
      <c r="D27" t="s">
        <v>21</v>
      </c>
      <c r="E27" s="5">
        <v>583</v>
      </c>
      <c r="F27">
        <v>118</v>
      </c>
      <c r="G27" s="1">
        <f t="shared" si="0"/>
        <v>-0.79759862778730706</v>
      </c>
      <c r="H27" s="5">
        <v>43327</v>
      </c>
      <c r="I27" s="3">
        <v>39903</v>
      </c>
      <c r="J27" s="2">
        <f t="shared" si="1"/>
        <v>-7.9026934705841628E-2</v>
      </c>
      <c r="K27" s="10">
        <v>9.25</v>
      </c>
      <c r="L27">
        <v>-2.5299999999999998</v>
      </c>
      <c r="M27" s="3">
        <v>72</v>
      </c>
      <c r="N27" s="5">
        <v>36</v>
      </c>
    </row>
    <row r="28" spans="1:14" x14ac:dyDescent="0.25">
      <c r="A28">
        <v>2020</v>
      </c>
      <c r="B28" t="s">
        <v>19</v>
      </c>
      <c r="C28" t="s">
        <v>18</v>
      </c>
      <c r="D28" t="s">
        <v>25</v>
      </c>
      <c r="E28" s="5">
        <v>4486</v>
      </c>
      <c r="F28">
        <v>4269</v>
      </c>
      <c r="G28" s="1">
        <f t="shared" si="0"/>
        <v>-4.8372715113687029E-2</v>
      </c>
      <c r="H28" s="5">
        <v>39346</v>
      </c>
      <c r="I28" s="3">
        <v>33964</v>
      </c>
      <c r="J28" s="2">
        <f t="shared" si="1"/>
        <v>-0.13678645859807859</v>
      </c>
      <c r="K28" s="10">
        <v>4.7699999999999996</v>
      </c>
      <c r="L28">
        <v>-0.42</v>
      </c>
      <c r="M28" s="3">
        <v>218</v>
      </c>
      <c r="N28" s="5">
        <v>98</v>
      </c>
    </row>
    <row r="29" spans="1:14" x14ac:dyDescent="0.25">
      <c r="A29">
        <v>2020</v>
      </c>
      <c r="B29" t="s">
        <v>19</v>
      </c>
      <c r="C29" t="s">
        <v>22</v>
      </c>
      <c r="D29" t="s">
        <v>25</v>
      </c>
      <c r="E29" s="5">
        <v>2824</v>
      </c>
      <c r="F29">
        <v>2750</v>
      </c>
      <c r="G29" s="1">
        <f t="shared" si="0"/>
        <v>-2.6203966005665724E-2</v>
      </c>
      <c r="H29" s="5">
        <v>99501</v>
      </c>
      <c r="I29" s="3">
        <v>98286</v>
      </c>
      <c r="J29" s="2">
        <f t="shared" si="1"/>
        <v>-1.2210932553441673E-2</v>
      </c>
      <c r="K29" s="10">
        <v>11.51</v>
      </c>
      <c r="L29">
        <v>-3.25</v>
      </c>
      <c r="M29" s="3">
        <v>233</v>
      </c>
      <c r="N29" s="5">
        <v>54</v>
      </c>
    </row>
    <row r="30" spans="1:14" x14ac:dyDescent="0.25">
      <c r="A30">
        <v>2020</v>
      </c>
      <c r="B30" t="s">
        <v>19</v>
      </c>
      <c r="C30" t="s">
        <v>20</v>
      </c>
      <c r="D30" t="s">
        <v>16</v>
      </c>
      <c r="E30" s="5">
        <v>2224</v>
      </c>
      <c r="F30">
        <v>1768</v>
      </c>
      <c r="G30" s="1">
        <f t="shared" si="0"/>
        <v>-0.20503597122302158</v>
      </c>
      <c r="H30" s="5">
        <v>93608</v>
      </c>
      <c r="I30" s="3">
        <v>89139</v>
      </c>
      <c r="J30" s="2">
        <f t="shared" si="1"/>
        <v>-4.7741646013161269E-2</v>
      </c>
      <c r="K30" s="10">
        <v>11.56</v>
      </c>
      <c r="L30">
        <v>-3.74</v>
      </c>
      <c r="M30" s="3">
        <v>273</v>
      </c>
      <c r="N30" s="5">
        <v>40</v>
      </c>
    </row>
    <row r="31" spans="1:14" x14ac:dyDescent="0.25">
      <c r="A31">
        <v>2020</v>
      </c>
      <c r="B31" t="s">
        <v>19</v>
      </c>
      <c r="C31" t="s">
        <v>15</v>
      </c>
      <c r="D31" t="s">
        <v>16</v>
      </c>
      <c r="E31" s="5">
        <v>605</v>
      </c>
      <c r="F31">
        <v>283</v>
      </c>
      <c r="G31" s="1">
        <f t="shared" si="0"/>
        <v>-0.53223140495867771</v>
      </c>
      <c r="H31" s="5">
        <v>63696</v>
      </c>
      <c r="I31" s="3">
        <v>57169</v>
      </c>
      <c r="J31" s="2">
        <f t="shared" si="1"/>
        <v>-0.10247111278573223</v>
      </c>
      <c r="K31" s="10">
        <v>5.01</v>
      </c>
      <c r="L31">
        <v>-1.48</v>
      </c>
      <c r="M31" s="3">
        <v>186</v>
      </c>
      <c r="N31" s="5">
        <v>16</v>
      </c>
    </row>
    <row r="32" spans="1:14" x14ac:dyDescent="0.25">
      <c r="A32">
        <v>2021</v>
      </c>
      <c r="B32" t="s">
        <v>23</v>
      </c>
      <c r="C32" t="s">
        <v>15</v>
      </c>
      <c r="D32" t="s">
        <v>16</v>
      </c>
      <c r="E32" s="5">
        <v>573</v>
      </c>
      <c r="F32">
        <v>82</v>
      </c>
      <c r="G32" s="1">
        <f t="shared" si="0"/>
        <v>-0.85689354275741714</v>
      </c>
      <c r="H32" s="5">
        <v>36573</v>
      </c>
      <c r="I32" s="3">
        <v>27836</v>
      </c>
      <c r="J32" s="2">
        <f t="shared" si="1"/>
        <v>-0.23889207885598665</v>
      </c>
      <c r="K32" s="10">
        <v>8.86</v>
      </c>
      <c r="L32">
        <v>-3.16</v>
      </c>
      <c r="M32" s="3">
        <v>127</v>
      </c>
      <c r="N32" s="5">
        <v>72</v>
      </c>
    </row>
    <row r="33" spans="1:14" x14ac:dyDescent="0.25">
      <c r="A33">
        <v>2020</v>
      </c>
      <c r="B33" t="s">
        <v>17</v>
      </c>
      <c r="C33" t="s">
        <v>15</v>
      </c>
      <c r="D33" t="s">
        <v>16</v>
      </c>
      <c r="E33" s="5">
        <v>4473</v>
      </c>
      <c r="F33">
        <v>4215</v>
      </c>
      <c r="G33" s="1">
        <f t="shared" si="0"/>
        <v>-5.7679409792085849E-2</v>
      </c>
      <c r="H33" s="5">
        <v>50898</v>
      </c>
      <c r="I33" s="3">
        <v>46103</v>
      </c>
      <c r="J33" s="2">
        <f t="shared" si="1"/>
        <v>-9.420802389091909E-2</v>
      </c>
      <c r="K33" s="10">
        <v>10.28</v>
      </c>
      <c r="L33">
        <v>2.44</v>
      </c>
      <c r="M33" s="3">
        <v>171</v>
      </c>
      <c r="N33" s="5">
        <v>74</v>
      </c>
    </row>
    <row r="34" spans="1:14" x14ac:dyDescent="0.25">
      <c r="A34">
        <v>2008</v>
      </c>
      <c r="B34" t="s">
        <v>14</v>
      </c>
      <c r="C34" t="s">
        <v>22</v>
      </c>
      <c r="D34" t="s">
        <v>16</v>
      </c>
      <c r="E34" s="5">
        <v>1192</v>
      </c>
      <c r="F34">
        <v>962</v>
      </c>
      <c r="G34" s="1">
        <f t="shared" si="0"/>
        <v>-0.19295302013422819</v>
      </c>
      <c r="H34" s="5">
        <v>32910</v>
      </c>
      <c r="I34" s="3">
        <v>25690</v>
      </c>
      <c r="J34" s="2">
        <f t="shared" si="1"/>
        <v>-0.21938620480097235</v>
      </c>
      <c r="K34" s="10">
        <v>11.11</v>
      </c>
      <c r="L34">
        <v>-1.1200000000000001</v>
      </c>
      <c r="M34" s="3">
        <v>35</v>
      </c>
      <c r="N34" s="5">
        <v>113</v>
      </c>
    </row>
    <row r="35" spans="1:14" x14ac:dyDescent="0.25">
      <c r="A35">
        <v>2009</v>
      </c>
      <c r="B35" t="s">
        <v>17</v>
      </c>
      <c r="C35" t="s">
        <v>24</v>
      </c>
      <c r="D35" t="s">
        <v>16</v>
      </c>
      <c r="E35" s="5">
        <v>832</v>
      </c>
      <c r="F35">
        <v>605</v>
      </c>
      <c r="G35" s="1">
        <f t="shared" si="0"/>
        <v>-0.27283653846153844</v>
      </c>
      <c r="H35" s="5">
        <v>36450</v>
      </c>
      <c r="I35" s="3">
        <v>32733</v>
      </c>
      <c r="J35" s="2">
        <f t="shared" si="1"/>
        <v>-0.10197530864197531</v>
      </c>
      <c r="K35" s="10">
        <v>7.16</v>
      </c>
      <c r="L35">
        <v>0.33</v>
      </c>
      <c r="M35" s="3">
        <v>84</v>
      </c>
      <c r="N35" s="5">
        <v>37</v>
      </c>
    </row>
    <row r="36" spans="1:14" x14ac:dyDescent="0.25">
      <c r="A36">
        <v>2021</v>
      </c>
      <c r="B36" t="s">
        <v>17</v>
      </c>
      <c r="C36" t="s">
        <v>15</v>
      </c>
      <c r="D36" t="s">
        <v>25</v>
      </c>
      <c r="E36" s="5">
        <v>3429</v>
      </c>
      <c r="F36">
        <v>3083</v>
      </c>
      <c r="G36" s="1">
        <f t="shared" si="0"/>
        <v>-0.10090405365995918</v>
      </c>
      <c r="H36" s="5">
        <v>37909</v>
      </c>
      <c r="I36" s="3">
        <v>32637</v>
      </c>
      <c r="J36" s="2">
        <f t="shared" si="1"/>
        <v>-0.13906987786541455</v>
      </c>
      <c r="K36" s="10">
        <v>7.82</v>
      </c>
      <c r="L36">
        <v>0.25</v>
      </c>
      <c r="M36" s="3">
        <v>135</v>
      </c>
      <c r="N36" s="5">
        <v>67</v>
      </c>
    </row>
    <row r="37" spans="1:14" x14ac:dyDescent="0.25">
      <c r="A37">
        <v>2020</v>
      </c>
      <c r="B37" t="s">
        <v>19</v>
      </c>
      <c r="C37" t="s">
        <v>20</v>
      </c>
      <c r="D37" t="s">
        <v>21</v>
      </c>
      <c r="E37" s="5">
        <v>1279</v>
      </c>
      <c r="F37">
        <v>1054</v>
      </c>
      <c r="G37" s="1">
        <f t="shared" si="0"/>
        <v>-0.17591868647380765</v>
      </c>
      <c r="H37" s="5">
        <v>61575</v>
      </c>
      <c r="I37" s="3">
        <v>57316</v>
      </c>
      <c r="J37" s="2">
        <f t="shared" si="1"/>
        <v>-6.916768168899716E-2</v>
      </c>
      <c r="K37" s="10">
        <v>10.45</v>
      </c>
      <c r="L37">
        <v>-3.24</v>
      </c>
      <c r="M37" s="3">
        <v>136</v>
      </c>
      <c r="N37" s="5">
        <v>58</v>
      </c>
    </row>
    <row r="38" spans="1:14" x14ac:dyDescent="0.25">
      <c r="A38">
        <v>2008</v>
      </c>
      <c r="B38" t="s">
        <v>19</v>
      </c>
      <c r="C38" t="s">
        <v>18</v>
      </c>
      <c r="D38" t="s">
        <v>16</v>
      </c>
      <c r="E38" s="5">
        <v>1543</v>
      </c>
      <c r="F38">
        <v>1435</v>
      </c>
      <c r="G38" s="1">
        <f t="shared" si="0"/>
        <v>-6.9993519118600134E-2</v>
      </c>
      <c r="H38" s="5">
        <v>35601</v>
      </c>
      <c r="I38" s="3">
        <v>30861</v>
      </c>
      <c r="J38" s="2">
        <f t="shared" si="1"/>
        <v>-0.13314232746271173</v>
      </c>
      <c r="K38" s="10">
        <v>6.33</v>
      </c>
      <c r="L38">
        <v>-3.91</v>
      </c>
      <c r="M38" s="3">
        <v>201</v>
      </c>
      <c r="N38" s="5">
        <v>145</v>
      </c>
    </row>
    <row r="39" spans="1:14" x14ac:dyDescent="0.25">
      <c r="A39">
        <v>2021</v>
      </c>
      <c r="B39" t="s">
        <v>17</v>
      </c>
      <c r="C39" t="s">
        <v>22</v>
      </c>
      <c r="D39" t="s">
        <v>25</v>
      </c>
      <c r="E39" s="5">
        <v>1856</v>
      </c>
      <c r="F39">
        <v>1728</v>
      </c>
      <c r="G39" s="1">
        <f t="shared" si="0"/>
        <v>-6.8965517241379309E-2</v>
      </c>
      <c r="H39" s="5">
        <v>94554</v>
      </c>
      <c r="I39" s="3">
        <v>87971</v>
      </c>
      <c r="J39" s="2">
        <f t="shared" si="1"/>
        <v>-6.9621591894578755E-2</v>
      </c>
      <c r="K39" s="10">
        <v>11.11</v>
      </c>
      <c r="L39">
        <v>2.09</v>
      </c>
      <c r="M39" s="3">
        <v>195</v>
      </c>
      <c r="N39" s="5">
        <v>87</v>
      </c>
    </row>
    <row r="40" spans="1:14" x14ac:dyDescent="0.25">
      <c r="A40">
        <v>2020</v>
      </c>
      <c r="B40" t="s">
        <v>14</v>
      </c>
      <c r="C40" t="s">
        <v>24</v>
      </c>
      <c r="D40" t="s">
        <v>16</v>
      </c>
      <c r="E40" s="5">
        <v>2621</v>
      </c>
      <c r="F40">
        <v>2178</v>
      </c>
      <c r="G40" s="1">
        <f t="shared" si="0"/>
        <v>-0.16901945822205267</v>
      </c>
      <c r="H40" s="5">
        <v>45648</v>
      </c>
      <c r="I40" s="3">
        <v>42449</v>
      </c>
      <c r="J40" s="2">
        <f t="shared" si="1"/>
        <v>-7.0079740623904666E-2</v>
      </c>
      <c r="K40" s="10">
        <v>4.87</v>
      </c>
      <c r="L40">
        <v>-1.46</v>
      </c>
      <c r="M40" s="3">
        <v>30</v>
      </c>
      <c r="N40" s="5">
        <v>104</v>
      </c>
    </row>
    <row r="41" spans="1:14" x14ac:dyDescent="0.25">
      <c r="A41">
        <v>2008</v>
      </c>
      <c r="B41" t="s">
        <v>17</v>
      </c>
      <c r="C41" t="s">
        <v>15</v>
      </c>
      <c r="D41" t="s">
        <v>21</v>
      </c>
      <c r="E41" s="5">
        <v>4919</v>
      </c>
      <c r="F41">
        <v>4808</v>
      </c>
      <c r="G41" s="1">
        <f t="shared" si="0"/>
        <v>-2.2565562106119128E-2</v>
      </c>
      <c r="H41" s="5">
        <v>88761</v>
      </c>
      <c r="I41" s="3">
        <v>85400</v>
      </c>
      <c r="J41" s="2">
        <f t="shared" si="1"/>
        <v>-3.7865729318056353E-2</v>
      </c>
      <c r="K41" s="10">
        <v>6.22</v>
      </c>
      <c r="L41">
        <v>1.78</v>
      </c>
      <c r="M41" s="3">
        <v>165</v>
      </c>
      <c r="N41" s="5">
        <v>99</v>
      </c>
    </row>
    <row r="42" spans="1:14" x14ac:dyDescent="0.25">
      <c r="A42">
        <v>2008</v>
      </c>
      <c r="B42" t="s">
        <v>19</v>
      </c>
      <c r="C42" t="s">
        <v>18</v>
      </c>
      <c r="D42" t="s">
        <v>21</v>
      </c>
      <c r="E42" s="5">
        <v>987</v>
      </c>
      <c r="F42">
        <v>600</v>
      </c>
      <c r="G42" s="1">
        <f t="shared" si="0"/>
        <v>-0.39209726443769</v>
      </c>
      <c r="H42" s="5">
        <v>83110</v>
      </c>
      <c r="I42" s="3">
        <v>75083</v>
      </c>
      <c r="J42" s="2">
        <f t="shared" si="1"/>
        <v>-9.6582842016604498E-2</v>
      </c>
      <c r="K42" s="10">
        <v>7.98</v>
      </c>
      <c r="L42">
        <v>-2.68</v>
      </c>
      <c r="M42" s="3">
        <v>56</v>
      </c>
      <c r="N42" s="5">
        <v>95</v>
      </c>
    </row>
    <row r="43" spans="1:14" x14ac:dyDescent="0.25">
      <c r="A43">
        <v>2009</v>
      </c>
      <c r="B43" t="s">
        <v>14</v>
      </c>
      <c r="C43" t="s">
        <v>18</v>
      </c>
      <c r="D43" t="s">
        <v>25</v>
      </c>
      <c r="E43" s="5">
        <v>4759</v>
      </c>
      <c r="F43">
        <v>4651</v>
      </c>
      <c r="G43" s="1">
        <f t="shared" si="0"/>
        <v>-2.2693843244379071E-2</v>
      </c>
      <c r="H43" s="5">
        <v>42204</v>
      </c>
      <c r="I43" s="3">
        <v>32505</v>
      </c>
      <c r="J43" s="2">
        <f t="shared" si="1"/>
        <v>-0.2298123400625533</v>
      </c>
      <c r="K43" s="10">
        <v>5.48</v>
      </c>
      <c r="L43">
        <v>2.37</v>
      </c>
      <c r="M43" s="3">
        <v>143</v>
      </c>
      <c r="N43" s="5">
        <v>43</v>
      </c>
    </row>
    <row r="44" spans="1:14" x14ac:dyDescent="0.25">
      <c r="A44">
        <v>2021</v>
      </c>
      <c r="B44" t="s">
        <v>14</v>
      </c>
      <c r="C44" t="s">
        <v>20</v>
      </c>
      <c r="D44" t="s">
        <v>25</v>
      </c>
      <c r="E44" s="5">
        <v>4907</v>
      </c>
      <c r="F44">
        <v>4599</v>
      </c>
      <c r="G44" s="1">
        <f t="shared" si="0"/>
        <v>-6.2767475035663337E-2</v>
      </c>
      <c r="H44" s="5">
        <v>94038</v>
      </c>
      <c r="I44" s="3">
        <v>84232</v>
      </c>
      <c r="J44" s="2">
        <f t="shared" si="1"/>
        <v>-0.10427699440651651</v>
      </c>
      <c r="K44" s="10">
        <v>11.64</v>
      </c>
      <c r="L44">
        <v>0.98</v>
      </c>
      <c r="M44" s="3">
        <v>218</v>
      </c>
      <c r="N44" s="5">
        <v>109</v>
      </c>
    </row>
    <row r="45" spans="1:14" x14ac:dyDescent="0.25">
      <c r="A45">
        <v>2008</v>
      </c>
      <c r="B45" t="s">
        <v>17</v>
      </c>
      <c r="C45" t="s">
        <v>15</v>
      </c>
      <c r="D45" t="s">
        <v>21</v>
      </c>
      <c r="E45" s="5">
        <v>1661</v>
      </c>
      <c r="F45">
        <v>1267</v>
      </c>
      <c r="G45" s="1">
        <f t="shared" si="0"/>
        <v>-0.23720650210716435</v>
      </c>
      <c r="H45" s="5">
        <v>49319</v>
      </c>
      <c r="I45" s="3">
        <v>40725</v>
      </c>
      <c r="J45" s="2">
        <f t="shared" si="1"/>
        <v>-0.17425333035949633</v>
      </c>
      <c r="K45" s="10">
        <v>9.84</v>
      </c>
      <c r="L45">
        <v>1.33</v>
      </c>
      <c r="M45" s="3">
        <v>216</v>
      </c>
      <c r="N45" s="5">
        <v>169</v>
      </c>
    </row>
    <row r="46" spans="1:14" x14ac:dyDescent="0.25">
      <c r="A46">
        <v>2009</v>
      </c>
      <c r="B46" t="s">
        <v>19</v>
      </c>
      <c r="C46" t="s">
        <v>15</v>
      </c>
      <c r="D46" t="s">
        <v>16</v>
      </c>
      <c r="E46" s="5">
        <v>1337</v>
      </c>
      <c r="F46">
        <v>982</v>
      </c>
      <c r="G46" s="1">
        <f t="shared" si="0"/>
        <v>-0.26551982049364248</v>
      </c>
      <c r="H46" s="5">
        <v>70262</v>
      </c>
      <c r="I46" s="3">
        <v>63577</v>
      </c>
      <c r="J46" s="2">
        <f t="shared" si="1"/>
        <v>-9.5143890011670604E-2</v>
      </c>
      <c r="K46" s="10">
        <v>4.37</v>
      </c>
      <c r="L46">
        <v>0.66</v>
      </c>
      <c r="M46" s="3">
        <v>246</v>
      </c>
      <c r="N46" s="5">
        <v>7</v>
      </c>
    </row>
    <row r="47" spans="1:14" x14ac:dyDescent="0.25">
      <c r="A47">
        <v>2020</v>
      </c>
      <c r="B47" t="s">
        <v>17</v>
      </c>
      <c r="C47" t="s">
        <v>20</v>
      </c>
      <c r="D47" t="s">
        <v>21</v>
      </c>
      <c r="E47" s="5">
        <v>3927</v>
      </c>
      <c r="F47">
        <v>3773</v>
      </c>
      <c r="G47" s="1">
        <f t="shared" si="0"/>
        <v>-3.9215686274509803E-2</v>
      </c>
      <c r="H47" s="5">
        <v>97653</v>
      </c>
      <c r="I47" s="3">
        <v>88748</v>
      </c>
      <c r="J47" s="2">
        <f t="shared" si="1"/>
        <v>-9.1190234811014514E-2</v>
      </c>
      <c r="K47" s="10">
        <v>11.82</v>
      </c>
      <c r="L47">
        <v>-0.65</v>
      </c>
      <c r="M47" s="3">
        <v>12</v>
      </c>
      <c r="N47" s="5">
        <v>195</v>
      </c>
    </row>
    <row r="48" spans="1:14" x14ac:dyDescent="0.25">
      <c r="A48">
        <v>2020</v>
      </c>
      <c r="B48" t="s">
        <v>14</v>
      </c>
      <c r="C48" t="s">
        <v>15</v>
      </c>
      <c r="D48" t="s">
        <v>25</v>
      </c>
      <c r="E48" s="5">
        <v>4040</v>
      </c>
      <c r="F48">
        <v>3665</v>
      </c>
      <c r="G48" s="1">
        <f t="shared" si="0"/>
        <v>-9.2821782178217821E-2</v>
      </c>
      <c r="H48" s="5">
        <v>35272</v>
      </c>
      <c r="I48" s="3">
        <v>29691</v>
      </c>
      <c r="J48" s="2">
        <f t="shared" si="1"/>
        <v>-0.158227489226582</v>
      </c>
      <c r="K48" s="10">
        <v>5.71</v>
      </c>
      <c r="L48">
        <v>-4.8</v>
      </c>
      <c r="M48" s="3">
        <v>49</v>
      </c>
      <c r="N48" s="5">
        <v>17</v>
      </c>
    </row>
    <row r="49" spans="1:14" x14ac:dyDescent="0.25">
      <c r="A49">
        <v>2008</v>
      </c>
      <c r="B49" t="s">
        <v>19</v>
      </c>
      <c r="C49" t="s">
        <v>18</v>
      </c>
      <c r="D49" t="s">
        <v>16</v>
      </c>
      <c r="E49" s="5">
        <v>2561</v>
      </c>
      <c r="F49">
        <v>2457</v>
      </c>
      <c r="G49" s="1">
        <f t="shared" si="0"/>
        <v>-4.060913705583756E-2</v>
      </c>
      <c r="H49" s="5">
        <v>80805</v>
      </c>
      <c r="I49" s="3">
        <v>72924</v>
      </c>
      <c r="J49" s="2">
        <f t="shared" si="1"/>
        <v>-9.7531093372934849E-2</v>
      </c>
      <c r="K49" s="10">
        <v>10.41</v>
      </c>
      <c r="L49">
        <v>1</v>
      </c>
      <c r="M49" s="3">
        <v>288</v>
      </c>
      <c r="N49" s="5">
        <v>73</v>
      </c>
    </row>
    <row r="50" spans="1:14" x14ac:dyDescent="0.25">
      <c r="A50">
        <v>2020</v>
      </c>
      <c r="B50" t="s">
        <v>23</v>
      </c>
      <c r="C50" t="s">
        <v>22</v>
      </c>
      <c r="D50" t="s">
        <v>16</v>
      </c>
      <c r="E50" s="5">
        <v>4839</v>
      </c>
      <c r="F50">
        <v>4498</v>
      </c>
      <c r="G50" s="1">
        <f t="shared" si="0"/>
        <v>-7.046910518702211E-2</v>
      </c>
      <c r="H50" s="5">
        <v>45173</v>
      </c>
      <c r="I50" s="3">
        <v>36197</v>
      </c>
      <c r="J50" s="2">
        <f t="shared" si="1"/>
        <v>-0.19870276492595135</v>
      </c>
      <c r="K50" s="10">
        <v>5.76</v>
      </c>
      <c r="L50">
        <v>2.16</v>
      </c>
      <c r="M50" s="3">
        <v>36</v>
      </c>
      <c r="N50" s="5">
        <v>73</v>
      </c>
    </row>
    <row r="51" spans="1:14" x14ac:dyDescent="0.25">
      <c r="A51">
        <v>2009</v>
      </c>
      <c r="B51" t="s">
        <v>17</v>
      </c>
      <c r="C51" t="s">
        <v>18</v>
      </c>
      <c r="D51" t="s">
        <v>25</v>
      </c>
      <c r="E51" s="5">
        <v>1741</v>
      </c>
      <c r="F51">
        <v>1313</v>
      </c>
      <c r="G51" s="1">
        <f t="shared" si="0"/>
        <v>-0.24583572659391154</v>
      </c>
      <c r="H51" s="5">
        <v>52054</v>
      </c>
      <c r="I51" s="3">
        <v>50506</v>
      </c>
      <c r="J51" s="2">
        <f t="shared" si="1"/>
        <v>-2.9738348637952897E-2</v>
      </c>
      <c r="K51" s="10">
        <v>10.71</v>
      </c>
      <c r="L51">
        <v>1.76</v>
      </c>
      <c r="M51" s="3">
        <v>128</v>
      </c>
      <c r="N51" s="5">
        <v>95</v>
      </c>
    </row>
    <row r="52" spans="1:14" x14ac:dyDescent="0.25">
      <c r="A52">
        <v>2008</v>
      </c>
      <c r="B52" t="s">
        <v>14</v>
      </c>
      <c r="C52" t="s">
        <v>22</v>
      </c>
      <c r="D52" t="s">
        <v>21</v>
      </c>
      <c r="E52" s="5">
        <v>3531</v>
      </c>
      <c r="F52">
        <v>3221</v>
      </c>
      <c r="G52" s="1">
        <f t="shared" si="0"/>
        <v>-8.7793826111583123E-2</v>
      </c>
      <c r="H52" s="5">
        <v>70189</v>
      </c>
      <c r="I52" s="3">
        <v>67922</v>
      </c>
      <c r="J52" s="2">
        <f t="shared" si="1"/>
        <v>-3.2298508313268463E-2</v>
      </c>
      <c r="K52" s="10">
        <v>8.33</v>
      </c>
      <c r="L52">
        <v>-1.07</v>
      </c>
      <c r="M52" s="3">
        <v>85</v>
      </c>
      <c r="N52" s="5">
        <v>150</v>
      </c>
    </row>
    <row r="53" spans="1:14" x14ac:dyDescent="0.25">
      <c r="A53">
        <v>2009</v>
      </c>
      <c r="B53" t="s">
        <v>17</v>
      </c>
      <c r="C53" t="s">
        <v>20</v>
      </c>
      <c r="D53" t="s">
        <v>21</v>
      </c>
      <c r="E53" s="5">
        <v>4735</v>
      </c>
      <c r="F53">
        <v>4495</v>
      </c>
      <c r="G53" s="1">
        <f t="shared" si="0"/>
        <v>-5.0686378035902854E-2</v>
      </c>
      <c r="H53" s="5">
        <v>41066</v>
      </c>
      <c r="I53" s="3">
        <v>34835</v>
      </c>
      <c r="J53" s="2">
        <f t="shared" si="1"/>
        <v>-0.15173135927531292</v>
      </c>
      <c r="K53" s="10">
        <v>10.79</v>
      </c>
      <c r="L53">
        <v>-1.1000000000000001</v>
      </c>
      <c r="M53" s="3">
        <v>108</v>
      </c>
      <c r="N53" s="5">
        <v>48</v>
      </c>
    </row>
    <row r="54" spans="1:14" x14ac:dyDescent="0.25">
      <c r="A54">
        <v>2021</v>
      </c>
      <c r="B54" t="s">
        <v>19</v>
      </c>
      <c r="C54" t="s">
        <v>20</v>
      </c>
      <c r="D54" t="s">
        <v>16</v>
      </c>
      <c r="E54" s="5">
        <v>764</v>
      </c>
      <c r="F54">
        <v>267</v>
      </c>
      <c r="G54" s="1">
        <f t="shared" si="0"/>
        <v>-0.65052356020942403</v>
      </c>
      <c r="H54" s="5">
        <v>48620</v>
      </c>
      <c r="I54" s="3">
        <v>38842</v>
      </c>
      <c r="J54" s="2">
        <f t="shared" si="1"/>
        <v>-0.20111065405183051</v>
      </c>
      <c r="K54" s="10">
        <v>8.66</v>
      </c>
      <c r="L54">
        <v>-0.47</v>
      </c>
      <c r="M54" s="3">
        <v>110</v>
      </c>
      <c r="N54" s="5">
        <v>59</v>
      </c>
    </row>
    <row r="55" spans="1:14" x14ac:dyDescent="0.25">
      <c r="A55">
        <v>2021</v>
      </c>
      <c r="B55" t="s">
        <v>23</v>
      </c>
      <c r="C55" t="s">
        <v>22</v>
      </c>
      <c r="D55" t="s">
        <v>25</v>
      </c>
      <c r="E55" s="5">
        <v>3649</v>
      </c>
      <c r="F55">
        <v>3261</v>
      </c>
      <c r="G55" s="1">
        <f t="shared" si="0"/>
        <v>-0.10633050150726227</v>
      </c>
      <c r="H55" s="5">
        <v>46054</v>
      </c>
      <c r="I55" s="3">
        <v>36974</v>
      </c>
      <c r="J55" s="2">
        <f t="shared" si="1"/>
        <v>-0.19715985582142703</v>
      </c>
      <c r="K55" s="10">
        <v>6.38</v>
      </c>
      <c r="L55">
        <v>0.6</v>
      </c>
      <c r="M55" s="3">
        <v>17</v>
      </c>
      <c r="N55" s="5">
        <v>51</v>
      </c>
    </row>
    <row r="56" spans="1:14" x14ac:dyDescent="0.25">
      <c r="A56">
        <v>2020</v>
      </c>
      <c r="B56" t="s">
        <v>14</v>
      </c>
      <c r="C56" t="s">
        <v>18</v>
      </c>
      <c r="D56" t="s">
        <v>25</v>
      </c>
      <c r="E56" s="5">
        <v>3310</v>
      </c>
      <c r="F56">
        <v>2819</v>
      </c>
      <c r="G56" s="1">
        <f t="shared" si="0"/>
        <v>-0.14833836858006041</v>
      </c>
      <c r="H56" s="5">
        <v>31089</v>
      </c>
      <c r="I56" s="3">
        <v>29949</v>
      </c>
      <c r="J56" s="2">
        <f t="shared" si="1"/>
        <v>-3.6668918266911127E-2</v>
      </c>
      <c r="K56" s="10">
        <v>10.48</v>
      </c>
      <c r="L56">
        <v>-7.0000000000000007E-2</v>
      </c>
      <c r="M56" s="3">
        <v>104</v>
      </c>
      <c r="N56" s="5">
        <v>153</v>
      </c>
    </row>
    <row r="57" spans="1:14" x14ac:dyDescent="0.25">
      <c r="A57">
        <v>2020</v>
      </c>
      <c r="B57" t="s">
        <v>19</v>
      </c>
      <c r="C57" t="s">
        <v>22</v>
      </c>
      <c r="D57" t="s">
        <v>16</v>
      </c>
      <c r="E57" s="5">
        <v>4286</v>
      </c>
      <c r="F57">
        <v>4034</v>
      </c>
      <c r="G57" s="1">
        <f t="shared" si="0"/>
        <v>-5.8796080261315914E-2</v>
      </c>
      <c r="H57" s="5">
        <v>59848</v>
      </c>
      <c r="I57" s="3">
        <v>55188</v>
      </c>
      <c r="J57" s="2">
        <f t="shared" si="1"/>
        <v>-7.786392193557011E-2</v>
      </c>
      <c r="K57" s="10">
        <v>8.59</v>
      </c>
      <c r="L57">
        <v>2.02</v>
      </c>
      <c r="M57" s="3">
        <v>96</v>
      </c>
      <c r="N57" s="5">
        <v>133</v>
      </c>
    </row>
    <row r="58" spans="1:14" x14ac:dyDescent="0.25">
      <c r="A58">
        <v>2020</v>
      </c>
      <c r="B58" t="s">
        <v>17</v>
      </c>
      <c r="C58" t="s">
        <v>22</v>
      </c>
      <c r="D58" t="s">
        <v>21</v>
      </c>
      <c r="E58" s="5">
        <v>4557</v>
      </c>
      <c r="F58">
        <v>4158</v>
      </c>
      <c r="G58" s="1">
        <f t="shared" si="0"/>
        <v>-8.755760368663594E-2</v>
      </c>
      <c r="H58" s="5">
        <v>55617</v>
      </c>
      <c r="I58" s="3">
        <v>47311</v>
      </c>
      <c r="J58" s="2">
        <f t="shared" si="1"/>
        <v>-0.14934282683352212</v>
      </c>
      <c r="K58" s="10">
        <v>5.16</v>
      </c>
      <c r="L58">
        <v>-2.36</v>
      </c>
      <c r="M58" s="3">
        <v>281</v>
      </c>
      <c r="N58" s="5">
        <v>10</v>
      </c>
    </row>
    <row r="59" spans="1:14" x14ac:dyDescent="0.25">
      <c r="A59">
        <v>2009</v>
      </c>
      <c r="B59" t="s">
        <v>23</v>
      </c>
      <c r="C59" t="s">
        <v>15</v>
      </c>
      <c r="D59" t="s">
        <v>21</v>
      </c>
      <c r="E59" s="5">
        <v>2456</v>
      </c>
      <c r="F59">
        <v>2047</v>
      </c>
      <c r="G59" s="1">
        <f t="shared" si="0"/>
        <v>-0.16653094462540716</v>
      </c>
      <c r="H59" s="5">
        <v>92077</v>
      </c>
      <c r="I59" s="3">
        <v>88404</v>
      </c>
      <c r="J59" s="2">
        <f t="shared" si="1"/>
        <v>-3.9890526407246107E-2</v>
      </c>
      <c r="K59" s="10">
        <v>5.55</v>
      </c>
      <c r="L59">
        <v>1.27</v>
      </c>
      <c r="M59" s="3">
        <v>185</v>
      </c>
      <c r="N59" s="5">
        <v>187</v>
      </c>
    </row>
    <row r="60" spans="1:14" x14ac:dyDescent="0.25">
      <c r="A60">
        <v>2020</v>
      </c>
      <c r="B60" t="s">
        <v>17</v>
      </c>
      <c r="C60" t="s">
        <v>18</v>
      </c>
      <c r="D60" t="s">
        <v>21</v>
      </c>
      <c r="E60" s="5">
        <v>3206</v>
      </c>
      <c r="F60">
        <v>3120</v>
      </c>
      <c r="G60" s="1">
        <f t="shared" si="0"/>
        <v>-2.6824703680598878E-2</v>
      </c>
      <c r="H60" s="5">
        <v>31085</v>
      </c>
      <c r="I60" s="3">
        <v>26642</v>
      </c>
      <c r="J60" s="2">
        <f t="shared" si="1"/>
        <v>-0.1429306739585009</v>
      </c>
      <c r="K60" s="10">
        <v>11.58</v>
      </c>
      <c r="L60">
        <v>0.87</v>
      </c>
      <c r="M60" s="3">
        <v>31</v>
      </c>
      <c r="N60" s="5">
        <v>149</v>
      </c>
    </row>
    <row r="61" spans="1:14" x14ac:dyDescent="0.25">
      <c r="A61">
        <v>2008</v>
      </c>
      <c r="B61" t="s">
        <v>19</v>
      </c>
      <c r="C61" t="s">
        <v>22</v>
      </c>
      <c r="D61" t="s">
        <v>25</v>
      </c>
      <c r="E61" s="5">
        <v>4904</v>
      </c>
      <c r="F61">
        <v>4674</v>
      </c>
      <c r="G61" s="1">
        <f t="shared" si="0"/>
        <v>-4.6900489396411095E-2</v>
      </c>
      <c r="H61" s="5">
        <v>95735</v>
      </c>
      <c r="I61" s="3">
        <v>86428</v>
      </c>
      <c r="J61" s="2">
        <f t="shared" si="1"/>
        <v>-9.7216274089935759E-2</v>
      </c>
      <c r="K61" s="10">
        <v>10.48</v>
      </c>
      <c r="L61">
        <v>-2.5299999999999998</v>
      </c>
      <c r="M61" s="3">
        <v>281</v>
      </c>
      <c r="N61" s="5">
        <v>197</v>
      </c>
    </row>
    <row r="62" spans="1:14" x14ac:dyDescent="0.25">
      <c r="A62">
        <v>2008</v>
      </c>
      <c r="B62" t="s">
        <v>19</v>
      </c>
      <c r="C62" t="s">
        <v>24</v>
      </c>
      <c r="D62" t="s">
        <v>16</v>
      </c>
      <c r="E62" s="5">
        <v>2972</v>
      </c>
      <c r="F62">
        <v>2788</v>
      </c>
      <c r="G62" s="1">
        <f t="shared" si="0"/>
        <v>-6.1911170928667561E-2</v>
      </c>
      <c r="H62" s="5">
        <v>71185</v>
      </c>
      <c r="I62" s="3">
        <v>68541</v>
      </c>
      <c r="J62" s="2">
        <f t="shared" si="1"/>
        <v>-3.7142656458523562E-2</v>
      </c>
      <c r="K62" s="10">
        <v>9.94</v>
      </c>
      <c r="L62">
        <v>-2.19</v>
      </c>
      <c r="M62" s="3">
        <v>93</v>
      </c>
      <c r="N62" s="5">
        <v>149</v>
      </c>
    </row>
    <row r="63" spans="1:14" x14ac:dyDescent="0.25">
      <c r="A63">
        <v>2009</v>
      </c>
      <c r="B63" t="s">
        <v>14</v>
      </c>
      <c r="C63" t="s">
        <v>15</v>
      </c>
      <c r="D63" t="s">
        <v>21</v>
      </c>
      <c r="E63" s="5">
        <v>3597</v>
      </c>
      <c r="F63">
        <v>3504</v>
      </c>
      <c r="G63" s="1">
        <f t="shared" si="0"/>
        <v>-2.585487906588824E-2</v>
      </c>
      <c r="H63" s="5">
        <v>58895</v>
      </c>
      <c r="I63" s="3">
        <v>52447</v>
      </c>
      <c r="J63" s="2">
        <f t="shared" si="1"/>
        <v>-0.10948297818150947</v>
      </c>
      <c r="K63" s="10">
        <v>10.29</v>
      </c>
      <c r="L63">
        <v>-0.2</v>
      </c>
      <c r="M63" s="3">
        <v>171</v>
      </c>
      <c r="N63" s="5">
        <v>94</v>
      </c>
    </row>
    <row r="64" spans="1:14" x14ac:dyDescent="0.25">
      <c r="A64">
        <v>2020</v>
      </c>
      <c r="B64" t="s">
        <v>14</v>
      </c>
      <c r="C64" t="s">
        <v>15</v>
      </c>
      <c r="D64" t="s">
        <v>21</v>
      </c>
      <c r="E64" s="5">
        <v>3065</v>
      </c>
      <c r="F64">
        <v>2890</v>
      </c>
      <c r="G64" s="1">
        <f t="shared" si="0"/>
        <v>-5.7096247960848286E-2</v>
      </c>
      <c r="H64" s="5">
        <v>75649</v>
      </c>
      <c r="I64" s="3">
        <v>72795</v>
      </c>
      <c r="J64" s="2">
        <f t="shared" si="1"/>
        <v>-3.7726870150299407E-2</v>
      </c>
      <c r="K64" s="10">
        <v>8.32</v>
      </c>
      <c r="L64">
        <v>-3.04</v>
      </c>
      <c r="M64" s="3">
        <v>108</v>
      </c>
      <c r="N64" s="5">
        <v>94</v>
      </c>
    </row>
    <row r="65" spans="1:14" x14ac:dyDescent="0.25">
      <c r="A65">
        <v>2020</v>
      </c>
      <c r="B65" t="s">
        <v>14</v>
      </c>
      <c r="C65" t="s">
        <v>22</v>
      </c>
      <c r="D65" t="s">
        <v>16</v>
      </c>
      <c r="E65" s="5">
        <v>4462</v>
      </c>
      <c r="F65">
        <v>4408</v>
      </c>
      <c r="G65" s="1">
        <f t="shared" si="0"/>
        <v>-1.2102196324518153E-2</v>
      </c>
      <c r="H65" s="5">
        <v>45867</v>
      </c>
      <c r="I65" s="3">
        <v>39682</v>
      </c>
      <c r="J65" s="2">
        <f t="shared" si="1"/>
        <v>-0.13484640373253101</v>
      </c>
      <c r="K65" s="10">
        <v>9.07</v>
      </c>
      <c r="L65">
        <v>-0.02</v>
      </c>
      <c r="M65" s="3">
        <v>231</v>
      </c>
      <c r="N65" s="5">
        <v>10</v>
      </c>
    </row>
    <row r="66" spans="1:14" x14ac:dyDescent="0.25">
      <c r="A66">
        <v>2020</v>
      </c>
      <c r="B66" t="s">
        <v>19</v>
      </c>
      <c r="C66" t="s">
        <v>22</v>
      </c>
      <c r="D66" t="s">
        <v>25</v>
      </c>
      <c r="E66" s="5">
        <v>3876</v>
      </c>
      <c r="F66">
        <v>3531</v>
      </c>
      <c r="G66" s="1">
        <f t="shared" si="0"/>
        <v>-8.9009287925696595E-2</v>
      </c>
      <c r="H66" s="5">
        <v>70133</v>
      </c>
      <c r="I66" s="3">
        <v>64466</v>
      </c>
      <c r="J66" s="2">
        <f t="shared" si="1"/>
        <v>-8.0803615986767996E-2</v>
      </c>
      <c r="K66" s="10">
        <v>4.0999999999999996</v>
      </c>
      <c r="L66">
        <v>-3.09</v>
      </c>
      <c r="M66" s="3">
        <v>98</v>
      </c>
      <c r="N66" s="5">
        <v>60</v>
      </c>
    </row>
    <row r="67" spans="1:14" x14ac:dyDescent="0.25">
      <c r="A67">
        <v>2008</v>
      </c>
      <c r="B67" t="s">
        <v>19</v>
      </c>
      <c r="C67" t="s">
        <v>15</v>
      </c>
      <c r="D67" t="s">
        <v>16</v>
      </c>
      <c r="E67" s="5">
        <v>2214</v>
      </c>
      <c r="F67">
        <v>1914</v>
      </c>
      <c r="G67" s="1">
        <f t="shared" ref="G67:G130" si="2">(F67-E67)/E67</f>
        <v>-0.13550135501355012</v>
      </c>
      <c r="H67" s="5">
        <v>41188</v>
      </c>
      <c r="I67" s="3">
        <v>35587</v>
      </c>
      <c r="J67" s="2">
        <f t="shared" ref="J67:J130" si="3">(I67-H67)/H67</f>
        <v>-0.13598620957560453</v>
      </c>
      <c r="K67" s="10">
        <v>6.22</v>
      </c>
      <c r="L67">
        <v>-1.4</v>
      </c>
      <c r="M67" s="3">
        <v>95</v>
      </c>
      <c r="N67" s="5">
        <v>162</v>
      </c>
    </row>
    <row r="68" spans="1:14" x14ac:dyDescent="0.25">
      <c r="A68">
        <v>2020</v>
      </c>
      <c r="B68" t="s">
        <v>19</v>
      </c>
      <c r="C68" t="s">
        <v>22</v>
      </c>
      <c r="D68" t="s">
        <v>21</v>
      </c>
      <c r="E68" s="5">
        <v>4977</v>
      </c>
      <c r="F68">
        <v>4544</v>
      </c>
      <c r="G68" s="1">
        <f t="shared" si="2"/>
        <v>-8.7000200924251564E-2</v>
      </c>
      <c r="H68" s="5">
        <v>64342</v>
      </c>
      <c r="I68" s="3">
        <v>61450</v>
      </c>
      <c r="J68" s="2">
        <f t="shared" si="3"/>
        <v>-4.494731279723975E-2</v>
      </c>
      <c r="K68" s="10">
        <v>7.64</v>
      </c>
      <c r="L68">
        <v>-0.74</v>
      </c>
      <c r="M68" s="3">
        <v>181</v>
      </c>
      <c r="N68" s="5">
        <v>75</v>
      </c>
    </row>
    <row r="69" spans="1:14" x14ac:dyDescent="0.25">
      <c r="A69">
        <v>2021</v>
      </c>
      <c r="B69" t="s">
        <v>23</v>
      </c>
      <c r="C69" t="s">
        <v>22</v>
      </c>
      <c r="D69" t="s">
        <v>16</v>
      </c>
      <c r="E69" s="5">
        <v>2148</v>
      </c>
      <c r="F69">
        <v>1916</v>
      </c>
      <c r="G69" s="1">
        <f t="shared" si="2"/>
        <v>-0.10800744878957169</v>
      </c>
      <c r="H69" s="5">
        <v>99492</v>
      </c>
      <c r="I69" s="3">
        <v>97879</v>
      </c>
      <c r="J69" s="2">
        <f t="shared" si="3"/>
        <v>-1.6212358782615687E-2</v>
      </c>
      <c r="K69" s="10">
        <v>5.93</v>
      </c>
      <c r="L69">
        <v>-1.31</v>
      </c>
      <c r="M69" s="3">
        <v>95</v>
      </c>
      <c r="N69" s="5">
        <v>200</v>
      </c>
    </row>
    <row r="70" spans="1:14" x14ac:dyDescent="0.25">
      <c r="A70">
        <v>2021</v>
      </c>
      <c r="B70" t="s">
        <v>14</v>
      </c>
      <c r="C70" t="s">
        <v>24</v>
      </c>
      <c r="D70" t="s">
        <v>25</v>
      </c>
      <c r="E70" s="5">
        <v>4931</v>
      </c>
      <c r="F70">
        <v>4611</v>
      </c>
      <c r="G70" s="1">
        <f t="shared" si="2"/>
        <v>-6.4895558710200765E-2</v>
      </c>
      <c r="H70" s="5">
        <v>93004</v>
      </c>
      <c r="I70" s="3">
        <v>89261</v>
      </c>
      <c r="J70" s="2">
        <f t="shared" si="3"/>
        <v>-4.0245580835232893E-2</v>
      </c>
      <c r="K70" s="10">
        <v>11.06</v>
      </c>
      <c r="L70">
        <v>-3.91</v>
      </c>
      <c r="M70" s="3">
        <v>227</v>
      </c>
      <c r="N70" s="5">
        <v>177</v>
      </c>
    </row>
    <row r="71" spans="1:14" x14ac:dyDescent="0.25">
      <c r="A71">
        <v>2009</v>
      </c>
      <c r="B71" t="s">
        <v>14</v>
      </c>
      <c r="C71" t="s">
        <v>24</v>
      </c>
      <c r="D71" t="s">
        <v>16</v>
      </c>
      <c r="E71" s="5">
        <v>3771</v>
      </c>
      <c r="F71">
        <v>3483</v>
      </c>
      <c r="G71" s="1">
        <f t="shared" si="2"/>
        <v>-7.6372315035799526E-2</v>
      </c>
      <c r="H71" s="5">
        <v>43245</v>
      </c>
      <c r="I71" s="3">
        <v>42143</v>
      </c>
      <c r="J71" s="2">
        <f t="shared" si="3"/>
        <v>-2.5482714764712682E-2</v>
      </c>
      <c r="K71" s="10">
        <v>7.84</v>
      </c>
      <c r="L71">
        <v>0.51</v>
      </c>
      <c r="M71" s="3">
        <v>138</v>
      </c>
      <c r="N71" s="5">
        <v>77</v>
      </c>
    </row>
    <row r="72" spans="1:14" x14ac:dyDescent="0.25">
      <c r="A72">
        <v>2009</v>
      </c>
      <c r="B72" t="s">
        <v>23</v>
      </c>
      <c r="C72" t="s">
        <v>20</v>
      </c>
      <c r="D72" t="s">
        <v>21</v>
      </c>
      <c r="E72" s="5">
        <v>1368</v>
      </c>
      <c r="F72">
        <v>1314</v>
      </c>
      <c r="G72" s="1">
        <f t="shared" si="2"/>
        <v>-3.9473684210526314E-2</v>
      </c>
      <c r="H72" s="5">
        <v>89717</v>
      </c>
      <c r="I72" s="3">
        <v>87819</v>
      </c>
      <c r="J72" s="2">
        <f t="shared" si="3"/>
        <v>-2.115541090317331E-2</v>
      </c>
      <c r="K72" s="10">
        <v>8.35</v>
      </c>
      <c r="L72">
        <v>-4.92</v>
      </c>
      <c r="M72" s="3">
        <v>118</v>
      </c>
      <c r="N72" s="5">
        <v>133</v>
      </c>
    </row>
    <row r="73" spans="1:14" x14ac:dyDescent="0.25">
      <c r="A73">
        <v>2021</v>
      </c>
      <c r="B73" t="s">
        <v>17</v>
      </c>
      <c r="C73" t="s">
        <v>20</v>
      </c>
      <c r="D73" t="s">
        <v>21</v>
      </c>
      <c r="E73" s="5">
        <v>818</v>
      </c>
      <c r="F73">
        <v>334</v>
      </c>
      <c r="G73" s="1">
        <f t="shared" si="2"/>
        <v>-0.59168704156479213</v>
      </c>
      <c r="H73" s="5">
        <v>52279</v>
      </c>
      <c r="I73" s="3">
        <v>49837</v>
      </c>
      <c r="J73" s="2">
        <f t="shared" si="3"/>
        <v>-4.6710916429158936E-2</v>
      </c>
      <c r="K73" s="10">
        <v>4.55</v>
      </c>
      <c r="L73">
        <v>0.53</v>
      </c>
      <c r="M73" s="3">
        <v>82</v>
      </c>
      <c r="N73" s="5">
        <v>100</v>
      </c>
    </row>
    <row r="74" spans="1:14" x14ac:dyDescent="0.25">
      <c r="A74">
        <v>2021</v>
      </c>
      <c r="B74" t="s">
        <v>23</v>
      </c>
      <c r="C74" t="s">
        <v>15</v>
      </c>
      <c r="D74" t="s">
        <v>25</v>
      </c>
      <c r="E74" s="5">
        <v>1380</v>
      </c>
      <c r="F74">
        <v>1296</v>
      </c>
      <c r="G74" s="1">
        <f t="shared" si="2"/>
        <v>-6.0869565217391307E-2</v>
      </c>
      <c r="H74" s="5">
        <v>65735</v>
      </c>
      <c r="I74" s="3">
        <v>56519</v>
      </c>
      <c r="J74" s="2">
        <f t="shared" si="3"/>
        <v>-0.14019928500798662</v>
      </c>
      <c r="K74" s="10">
        <v>4.58</v>
      </c>
      <c r="L74">
        <v>-0.56000000000000005</v>
      </c>
      <c r="M74" s="3">
        <v>183</v>
      </c>
      <c r="N74" s="5">
        <v>36</v>
      </c>
    </row>
    <row r="75" spans="1:14" x14ac:dyDescent="0.25">
      <c r="A75">
        <v>2021</v>
      </c>
      <c r="B75" t="s">
        <v>19</v>
      </c>
      <c r="C75" t="s">
        <v>20</v>
      </c>
      <c r="D75" t="s">
        <v>16</v>
      </c>
      <c r="E75" s="5">
        <v>1040</v>
      </c>
      <c r="F75">
        <v>950</v>
      </c>
      <c r="G75" s="1">
        <f t="shared" si="2"/>
        <v>-8.6538461538461536E-2</v>
      </c>
      <c r="H75" s="5">
        <v>80160</v>
      </c>
      <c r="I75" s="3">
        <v>72453</v>
      </c>
      <c r="J75" s="2">
        <f t="shared" si="3"/>
        <v>-9.6145209580838317E-2</v>
      </c>
      <c r="K75" s="10">
        <v>6.28</v>
      </c>
      <c r="L75">
        <v>1.71</v>
      </c>
      <c r="M75" s="3">
        <v>41</v>
      </c>
      <c r="N75" s="5">
        <v>7</v>
      </c>
    </row>
    <row r="76" spans="1:14" x14ac:dyDescent="0.25">
      <c r="A76">
        <v>2021</v>
      </c>
      <c r="B76" t="s">
        <v>17</v>
      </c>
      <c r="C76" t="s">
        <v>24</v>
      </c>
      <c r="D76" t="s">
        <v>25</v>
      </c>
      <c r="E76" s="5">
        <v>3925</v>
      </c>
      <c r="F76">
        <v>3744</v>
      </c>
      <c r="G76" s="1">
        <f t="shared" si="2"/>
        <v>-4.6114649681528661E-2</v>
      </c>
      <c r="H76" s="5">
        <v>50482</v>
      </c>
      <c r="I76" s="3">
        <v>43241</v>
      </c>
      <c r="J76" s="2">
        <f t="shared" si="3"/>
        <v>-0.14343726476763996</v>
      </c>
      <c r="K76" s="10">
        <v>6.2</v>
      </c>
      <c r="L76">
        <v>2.93</v>
      </c>
      <c r="M76" s="3">
        <v>70</v>
      </c>
      <c r="N76" s="5">
        <v>75</v>
      </c>
    </row>
    <row r="77" spans="1:14" x14ac:dyDescent="0.25">
      <c r="A77">
        <v>2009</v>
      </c>
      <c r="B77" t="s">
        <v>17</v>
      </c>
      <c r="C77" t="s">
        <v>22</v>
      </c>
      <c r="D77" t="s">
        <v>25</v>
      </c>
      <c r="E77" s="5">
        <v>3532</v>
      </c>
      <c r="F77">
        <v>3154</v>
      </c>
      <c r="G77" s="1">
        <f t="shared" si="2"/>
        <v>-0.10702151755379388</v>
      </c>
      <c r="H77" s="5">
        <v>69938</v>
      </c>
      <c r="I77" s="3">
        <v>64322</v>
      </c>
      <c r="J77" s="2">
        <f t="shared" si="3"/>
        <v>-8.0299694014698733E-2</v>
      </c>
      <c r="K77" s="10">
        <v>9.7100000000000009</v>
      </c>
      <c r="L77">
        <v>0.91</v>
      </c>
      <c r="M77" s="3">
        <v>29</v>
      </c>
      <c r="N77" s="5">
        <v>98</v>
      </c>
    </row>
    <row r="78" spans="1:14" x14ac:dyDescent="0.25">
      <c r="A78">
        <v>2020</v>
      </c>
      <c r="B78" t="s">
        <v>14</v>
      </c>
      <c r="C78" t="s">
        <v>20</v>
      </c>
      <c r="D78" t="s">
        <v>25</v>
      </c>
      <c r="E78" s="5">
        <v>3688</v>
      </c>
      <c r="F78">
        <v>3399</v>
      </c>
      <c r="G78" s="1">
        <f t="shared" si="2"/>
        <v>-7.8362255965292837E-2</v>
      </c>
      <c r="H78" s="5">
        <v>54803</v>
      </c>
      <c r="I78" s="3">
        <v>52574</v>
      </c>
      <c r="J78" s="2">
        <f t="shared" si="3"/>
        <v>-4.0672955860080649E-2</v>
      </c>
      <c r="K78" s="10">
        <v>7.72</v>
      </c>
      <c r="L78">
        <v>-0.2</v>
      </c>
      <c r="M78" s="3">
        <v>162</v>
      </c>
      <c r="N78" s="5">
        <v>102</v>
      </c>
    </row>
    <row r="79" spans="1:14" x14ac:dyDescent="0.25">
      <c r="A79">
        <v>2021</v>
      </c>
      <c r="B79" t="s">
        <v>23</v>
      </c>
      <c r="C79" t="s">
        <v>24</v>
      </c>
      <c r="D79" t="s">
        <v>16</v>
      </c>
      <c r="E79" s="5">
        <v>3343</v>
      </c>
      <c r="F79">
        <v>2958</v>
      </c>
      <c r="G79" s="1">
        <f t="shared" si="2"/>
        <v>-0.11516601854621597</v>
      </c>
      <c r="H79" s="5">
        <v>41991</v>
      </c>
      <c r="I79" s="3">
        <v>39513</v>
      </c>
      <c r="J79" s="2">
        <f t="shared" si="3"/>
        <v>-5.9012645566907197E-2</v>
      </c>
      <c r="K79" s="10">
        <v>6.03</v>
      </c>
      <c r="L79">
        <v>-4.9800000000000004</v>
      </c>
      <c r="M79" s="3">
        <v>155</v>
      </c>
      <c r="N79" s="5">
        <v>97</v>
      </c>
    </row>
    <row r="80" spans="1:14" x14ac:dyDescent="0.25">
      <c r="A80">
        <v>2009</v>
      </c>
      <c r="B80" t="s">
        <v>17</v>
      </c>
      <c r="C80" t="s">
        <v>22</v>
      </c>
      <c r="D80" t="s">
        <v>21</v>
      </c>
      <c r="E80" s="5">
        <v>791</v>
      </c>
      <c r="F80">
        <v>688</v>
      </c>
      <c r="G80" s="1">
        <f t="shared" si="2"/>
        <v>-0.13021491782553729</v>
      </c>
      <c r="H80" s="5">
        <v>75625</v>
      </c>
      <c r="I80" s="3">
        <v>74010</v>
      </c>
      <c r="J80" s="2">
        <f t="shared" si="3"/>
        <v>-2.1355371900826446E-2</v>
      </c>
      <c r="K80" s="10">
        <v>9.27</v>
      </c>
      <c r="L80">
        <v>-3.58</v>
      </c>
      <c r="M80" s="3">
        <v>241</v>
      </c>
      <c r="N80" s="5">
        <v>21</v>
      </c>
    </row>
    <row r="81" spans="1:14" x14ac:dyDescent="0.25">
      <c r="A81">
        <v>2021</v>
      </c>
      <c r="B81" t="s">
        <v>14</v>
      </c>
      <c r="C81" t="s">
        <v>15</v>
      </c>
      <c r="D81" t="s">
        <v>21</v>
      </c>
      <c r="E81" s="5">
        <v>4918</v>
      </c>
      <c r="F81">
        <v>4729</v>
      </c>
      <c r="G81" s="1">
        <f t="shared" si="2"/>
        <v>-3.8430256201708014E-2</v>
      </c>
      <c r="H81" s="5">
        <v>61196</v>
      </c>
      <c r="I81" s="3">
        <v>58219</v>
      </c>
      <c r="J81" s="2">
        <f t="shared" si="3"/>
        <v>-4.8646970390221582E-2</v>
      </c>
      <c r="K81" s="10">
        <v>7.83</v>
      </c>
      <c r="L81">
        <v>0.09</v>
      </c>
      <c r="M81" s="3">
        <v>166</v>
      </c>
      <c r="N81" s="5">
        <v>183</v>
      </c>
    </row>
    <row r="82" spans="1:14" x14ac:dyDescent="0.25">
      <c r="A82">
        <v>2021</v>
      </c>
      <c r="B82" t="s">
        <v>19</v>
      </c>
      <c r="C82" t="s">
        <v>22</v>
      </c>
      <c r="D82" t="s">
        <v>21</v>
      </c>
      <c r="E82" s="5">
        <v>2118</v>
      </c>
      <c r="F82">
        <v>1894</v>
      </c>
      <c r="G82" s="1">
        <f t="shared" si="2"/>
        <v>-0.10576015108593012</v>
      </c>
      <c r="H82" s="5">
        <v>60077</v>
      </c>
      <c r="I82" s="3">
        <v>50524</v>
      </c>
      <c r="J82" s="2">
        <f t="shared" si="3"/>
        <v>-0.15901260049603008</v>
      </c>
      <c r="K82" s="10">
        <v>8.23</v>
      </c>
      <c r="L82">
        <v>1.52</v>
      </c>
      <c r="M82" s="3">
        <v>169</v>
      </c>
      <c r="N82" s="5">
        <v>17</v>
      </c>
    </row>
    <row r="83" spans="1:14" x14ac:dyDescent="0.25">
      <c r="A83">
        <v>2008</v>
      </c>
      <c r="B83" t="s">
        <v>17</v>
      </c>
      <c r="C83" t="s">
        <v>15</v>
      </c>
      <c r="D83" t="s">
        <v>16</v>
      </c>
      <c r="E83" s="5">
        <v>2266</v>
      </c>
      <c r="F83">
        <v>1867</v>
      </c>
      <c r="G83" s="1">
        <f t="shared" si="2"/>
        <v>-0.176081200353045</v>
      </c>
      <c r="H83" s="5">
        <v>54735</v>
      </c>
      <c r="I83" s="3">
        <v>45353</v>
      </c>
      <c r="J83" s="2">
        <f t="shared" si="3"/>
        <v>-0.17140769160500594</v>
      </c>
      <c r="K83" s="10">
        <v>4.9400000000000004</v>
      </c>
      <c r="L83">
        <v>1.06</v>
      </c>
      <c r="M83" s="3">
        <v>10</v>
      </c>
      <c r="N83" s="5">
        <v>64</v>
      </c>
    </row>
    <row r="84" spans="1:14" x14ac:dyDescent="0.25">
      <c r="A84">
        <v>2020</v>
      </c>
      <c r="B84" t="s">
        <v>17</v>
      </c>
      <c r="C84" t="s">
        <v>24</v>
      </c>
      <c r="D84" t="s">
        <v>21</v>
      </c>
      <c r="E84" s="5">
        <v>4030</v>
      </c>
      <c r="F84">
        <v>3901</v>
      </c>
      <c r="G84" s="1">
        <f t="shared" si="2"/>
        <v>-3.2009925558312655E-2</v>
      </c>
      <c r="H84" s="5">
        <v>38243</v>
      </c>
      <c r="I84" s="3">
        <v>30389</v>
      </c>
      <c r="J84" s="2">
        <f t="shared" si="3"/>
        <v>-0.2053709175535392</v>
      </c>
      <c r="K84" s="10">
        <v>4.08</v>
      </c>
      <c r="L84">
        <v>-2.23</v>
      </c>
      <c r="M84" s="3">
        <v>298</v>
      </c>
      <c r="N84" s="5">
        <v>120</v>
      </c>
    </row>
    <row r="85" spans="1:14" x14ac:dyDescent="0.25">
      <c r="A85">
        <v>2021</v>
      </c>
      <c r="B85" t="s">
        <v>14</v>
      </c>
      <c r="C85" t="s">
        <v>22</v>
      </c>
      <c r="D85" t="s">
        <v>16</v>
      </c>
      <c r="E85" s="5">
        <v>1535</v>
      </c>
      <c r="F85">
        <v>1061</v>
      </c>
      <c r="G85" s="1">
        <f t="shared" si="2"/>
        <v>-0.30879478827361562</v>
      </c>
      <c r="H85" s="5">
        <v>40302</v>
      </c>
      <c r="I85" s="3">
        <v>38952</v>
      </c>
      <c r="J85" s="2">
        <f t="shared" si="3"/>
        <v>-3.3497096918267084E-2</v>
      </c>
      <c r="K85" s="10">
        <v>5.05</v>
      </c>
      <c r="L85">
        <v>-1.33</v>
      </c>
      <c r="M85" s="3">
        <v>104</v>
      </c>
      <c r="N85" s="5">
        <v>24</v>
      </c>
    </row>
    <row r="86" spans="1:14" x14ac:dyDescent="0.25">
      <c r="A86">
        <v>2021</v>
      </c>
      <c r="B86" t="s">
        <v>14</v>
      </c>
      <c r="C86" t="s">
        <v>22</v>
      </c>
      <c r="D86" t="s">
        <v>16</v>
      </c>
      <c r="E86" s="5">
        <v>2780</v>
      </c>
      <c r="F86">
        <v>2360</v>
      </c>
      <c r="G86" s="1">
        <f t="shared" si="2"/>
        <v>-0.15107913669064749</v>
      </c>
      <c r="H86" s="5">
        <v>75927</v>
      </c>
      <c r="I86" s="3">
        <v>69325</v>
      </c>
      <c r="J86" s="2">
        <f t="shared" si="3"/>
        <v>-8.695194067986356E-2</v>
      </c>
      <c r="K86" s="10">
        <v>6.09</v>
      </c>
      <c r="L86">
        <v>-2.7</v>
      </c>
      <c r="M86" s="3">
        <v>115</v>
      </c>
      <c r="N86" s="5">
        <v>144</v>
      </c>
    </row>
    <row r="87" spans="1:14" x14ac:dyDescent="0.25">
      <c r="A87">
        <v>2020</v>
      </c>
      <c r="B87" t="s">
        <v>17</v>
      </c>
      <c r="C87" t="s">
        <v>20</v>
      </c>
      <c r="D87" t="s">
        <v>21</v>
      </c>
      <c r="E87" s="5">
        <v>2671</v>
      </c>
      <c r="F87">
        <v>2270</v>
      </c>
      <c r="G87" s="1">
        <f t="shared" si="2"/>
        <v>-0.15013103706476974</v>
      </c>
      <c r="H87" s="5">
        <v>49897</v>
      </c>
      <c r="I87" s="3">
        <v>48182</v>
      </c>
      <c r="J87" s="2">
        <f t="shared" si="3"/>
        <v>-3.4370803855943245E-2</v>
      </c>
      <c r="K87" s="10">
        <v>10.210000000000001</v>
      </c>
      <c r="L87">
        <v>-2.06</v>
      </c>
      <c r="M87" s="3">
        <v>163</v>
      </c>
      <c r="N87" s="5">
        <v>21</v>
      </c>
    </row>
    <row r="88" spans="1:14" x14ac:dyDescent="0.25">
      <c r="A88">
        <v>2021</v>
      </c>
      <c r="B88" t="s">
        <v>14</v>
      </c>
      <c r="C88" t="s">
        <v>22</v>
      </c>
      <c r="D88" t="s">
        <v>16</v>
      </c>
      <c r="E88" s="5">
        <v>929</v>
      </c>
      <c r="F88">
        <v>647</v>
      </c>
      <c r="G88" s="1">
        <f t="shared" si="2"/>
        <v>-0.30355220667384286</v>
      </c>
      <c r="H88" s="5">
        <v>71004</v>
      </c>
      <c r="I88" s="3">
        <v>61379</v>
      </c>
      <c r="J88" s="2">
        <f t="shared" si="3"/>
        <v>-0.13555574333840348</v>
      </c>
      <c r="K88" s="10">
        <v>10.88</v>
      </c>
      <c r="L88">
        <v>-2.52</v>
      </c>
      <c r="M88" s="3">
        <v>222</v>
      </c>
      <c r="N88" s="5">
        <v>184</v>
      </c>
    </row>
    <row r="89" spans="1:14" x14ac:dyDescent="0.25">
      <c r="A89">
        <v>2008</v>
      </c>
      <c r="B89" t="s">
        <v>19</v>
      </c>
      <c r="C89" t="s">
        <v>22</v>
      </c>
      <c r="D89" t="s">
        <v>25</v>
      </c>
      <c r="E89" s="5">
        <v>2618</v>
      </c>
      <c r="F89">
        <v>2507</v>
      </c>
      <c r="G89" s="1">
        <f t="shared" si="2"/>
        <v>-4.2398777692895337E-2</v>
      </c>
      <c r="H89" s="5">
        <v>66598</v>
      </c>
      <c r="I89" s="3">
        <v>61246</v>
      </c>
      <c r="J89" s="2">
        <f t="shared" si="3"/>
        <v>-8.0362773656866573E-2</v>
      </c>
      <c r="K89" s="10">
        <v>9.34</v>
      </c>
      <c r="L89">
        <v>2.2400000000000002</v>
      </c>
      <c r="M89" s="3">
        <v>232</v>
      </c>
      <c r="N89" s="5">
        <v>157</v>
      </c>
    </row>
    <row r="90" spans="1:14" x14ac:dyDescent="0.25">
      <c r="A90">
        <v>2008</v>
      </c>
      <c r="B90" t="s">
        <v>19</v>
      </c>
      <c r="C90" t="s">
        <v>15</v>
      </c>
      <c r="D90" t="s">
        <v>21</v>
      </c>
      <c r="E90" s="5">
        <v>583</v>
      </c>
      <c r="F90">
        <v>472</v>
      </c>
      <c r="G90" s="1">
        <f t="shared" si="2"/>
        <v>-0.19039451114922812</v>
      </c>
      <c r="H90" s="5">
        <v>31873</v>
      </c>
      <c r="I90" s="3">
        <v>28238</v>
      </c>
      <c r="J90" s="2">
        <f t="shared" si="3"/>
        <v>-0.11404637153703762</v>
      </c>
      <c r="K90" s="10">
        <v>8.42</v>
      </c>
      <c r="L90">
        <v>-1.9</v>
      </c>
      <c r="M90" s="3">
        <v>12</v>
      </c>
      <c r="N90" s="5">
        <v>45</v>
      </c>
    </row>
    <row r="91" spans="1:14" x14ac:dyDescent="0.25">
      <c r="A91">
        <v>2020</v>
      </c>
      <c r="B91" t="s">
        <v>17</v>
      </c>
      <c r="C91" t="s">
        <v>20</v>
      </c>
      <c r="D91" t="s">
        <v>25</v>
      </c>
      <c r="E91" s="5">
        <v>997</v>
      </c>
      <c r="F91">
        <v>574</v>
      </c>
      <c r="G91" s="1">
        <f t="shared" si="2"/>
        <v>-0.42427281845536607</v>
      </c>
      <c r="H91" s="5">
        <v>97357</v>
      </c>
      <c r="I91" s="3">
        <v>87500</v>
      </c>
      <c r="J91" s="2">
        <f t="shared" si="3"/>
        <v>-0.10124592992799696</v>
      </c>
      <c r="K91" s="10">
        <v>5.65</v>
      </c>
      <c r="L91">
        <v>-0.78</v>
      </c>
      <c r="M91" s="3">
        <v>176</v>
      </c>
      <c r="N91" s="5">
        <v>33</v>
      </c>
    </row>
    <row r="92" spans="1:14" x14ac:dyDescent="0.25">
      <c r="A92">
        <v>2008</v>
      </c>
      <c r="B92" t="s">
        <v>17</v>
      </c>
      <c r="C92" t="s">
        <v>18</v>
      </c>
      <c r="D92" t="s">
        <v>16</v>
      </c>
      <c r="E92" s="5">
        <v>3780</v>
      </c>
      <c r="F92">
        <v>3637</v>
      </c>
      <c r="G92" s="1">
        <f t="shared" si="2"/>
        <v>-3.7830687830687833E-2</v>
      </c>
      <c r="H92" s="5">
        <v>83871</v>
      </c>
      <c r="I92" s="3">
        <v>78701</v>
      </c>
      <c r="J92" s="2">
        <f t="shared" si="3"/>
        <v>-6.1642283983736931E-2</v>
      </c>
      <c r="K92" s="10">
        <v>6.02</v>
      </c>
      <c r="L92">
        <v>2.0099999999999998</v>
      </c>
      <c r="M92" s="3">
        <v>42</v>
      </c>
      <c r="N92" s="5">
        <v>15</v>
      </c>
    </row>
    <row r="93" spans="1:14" x14ac:dyDescent="0.25">
      <c r="A93">
        <v>2009</v>
      </c>
      <c r="B93" t="s">
        <v>14</v>
      </c>
      <c r="C93" t="s">
        <v>24</v>
      </c>
      <c r="D93" t="s">
        <v>25</v>
      </c>
      <c r="E93" s="5">
        <v>4955</v>
      </c>
      <c r="F93">
        <v>4800</v>
      </c>
      <c r="G93" s="1">
        <f t="shared" si="2"/>
        <v>-3.1281533804238142E-2</v>
      </c>
      <c r="H93" s="5">
        <v>30527</v>
      </c>
      <c r="I93" s="3">
        <v>22634</v>
      </c>
      <c r="J93" s="2">
        <f t="shared" si="3"/>
        <v>-0.2585579978379795</v>
      </c>
      <c r="K93" s="10">
        <v>5.95</v>
      </c>
      <c r="L93">
        <v>-4.68</v>
      </c>
      <c r="M93" s="3">
        <v>274</v>
      </c>
      <c r="N93" s="5">
        <v>166</v>
      </c>
    </row>
    <row r="94" spans="1:14" x14ac:dyDescent="0.25">
      <c r="A94">
        <v>2008</v>
      </c>
      <c r="B94" t="s">
        <v>17</v>
      </c>
      <c r="C94" t="s">
        <v>15</v>
      </c>
      <c r="D94" t="s">
        <v>16</v>
      </c>
      <c r="E94" s="5">
        <v>2230</v>
      </c>
      <c r="F94">
        <v>1751</v>
      </c>
      <c r="G94" s="1">
        <f t="shared" si="2"/>
        <v>-0.2147982062780269</v>
      </c>
      <c r="H94" s="5">
        <v>41439</v>
      </c>
      <c r="I94" s="3">
        <v>35763</v>
      </c>
      <c r="J94" s="2">
        <f t="shared" si="3"/>
        <v>-0.13697241728806198</v>
      </c>
      <c r="K94" s="10">
        <v>9.86</v>
      </c>
      <c r="L94">
        <v>-2.31</v>
      </c>
      <c r="M94" s="3">
        <v>253</v>
      </c>
      <c r="N94" s="5">
        <v>72</v>
      </c>
    </row>
    <row r="95" spans="1:14" x14ac:dyDescent="0.25">
      <c r="A95">
        <v>2021</v>
      </c>
      <c r="B95" t="s">
        <v>17</v>
      </c>
      <c r="C95" t="s">
        <v>15</v>
      </c>
      <c r="D95" t="s">
        <v>16</v>
      </c>
      <c r="E95" s="5">
        <v>2614</v>
      </c>
      <c r="F95">
        <v>2336</v>
      </c>
      <c r="G95" s="1">
        <f t="shared" si="2"/>
        <v>-0.1063504208110176</v>
      </c>
      <c r="H95" s="5">
        <v>63645</v>
      </c>
      <c r="I95" s="3">
        <v>57182</v>
      </c>
      <c r="J95" s="2">
        <f t="shared" si="3"/>
        <v>-0.10154764710503575</v>
      </c>
      <c r="K95" s="10">
        <v>9.5299999999999994</v>
      </c>
      <c r="L95">
        <v>0.43</v>
      </c>
      <c r="M95" s="3">
        <v>99</v>
      </c>
      <c r="N95" s="5">
        <v>199</v>
      </c>
    </row>
    <row r="96" spans="1:14" x14ac:dyDescent="0.25">
      <c r="A96">
        <v>2009</v>
      </c>
      <c r="B96" t="s">
        <v>17</v>
      </c>
      <c r="C96" t="s">
        <v>22</v>
      </c>
      <c r="D96" t="s">
        <v>21</v>
      </c>
      <c r="E96" s="5">
        <v>2489</v>
      </c>
      <c r="F96">
        <v>2220</v>
      </c>
      <c r="G96" s="1">
        <f t="shared" si="2"/>
        <v>-0.10807553234230614</v>
      </c>
      <c r="H96" s="5">
        <v>68711</v>
      </c>
      <c r="I96" s="3">
        <v>59901</v>
      </c>
      <c r="J96" s="2">
        <f t="shared" si="3"/>
        <v>-0.12821818922734352</v>
      </c>
      <c r="K96" s="10">
        <v>11.82</v>
      </c>
      <c r="L96">
        <v>0.89</v>
      </c>
      <c r="M96" s="3">
        <v>61</v>
      </c>
      <c r="N96" s="5">
        <v>72</v>
      </c>
    </row>
    <row r="97" spans="1:14" x14ac:dyDescent="0.25">
      <c r="A97">
        <v>2021</v>
      </c>
      <c r="B97" t="s">
        <v>14</v>
      </c>
      <c r="C97" t="s">
        <v>24</v>
      </c>
      <c r="D97" t="s">
        <v>16</v>
      </c>
      <c r="E97" s="5">
        <v>3765</v>
      </c>
      <c r="F97">
        <v>3702</v>
      </c>
      <c r="G97" s="1">
        <f t="shared" si="2"/>
        <v>-1.6733067729083666E-2</v>
      </c>
      <c r="H97" s="5">
        <v>36585</v>
      </c>
      <c r="I97" s="3">
        <v>30481</v>
      </c>
      <c r="J97" s="2">
        <f t="shared" si="3"/>
        <v>-0.16684433511001776</v>
      </c>
      <c r="K97" s="10">
        <v>8.8699999999999992</v>
      </c>
      <c r="L97">
        <v>-1.07</v>
      </c>
      <c r="M97" s="3">
        <v>198</v>
      </c>
      <c r="N97" s="5">
        <v>31</v>
      </c>
    </row>
    <row r="98" spans="1:14" x14ac:dyDescent="0.25">
      <c r="A98">
        <v>2008</v>
      </c>
      <c r="B98" t="s">
        <v>14</v>
      </c>
      <c r="C98" t="s">
        <v>22</v>
      </c>
      <c r="D98" t="s">
        <v>25</v>
      </c>
      <c r="E98" s="5">
        <v>3689</v>
      </c>
      <c r="F98">
        <v>3235</v>
      </c>
      <c r="G98" s="1">
        <f t="shared" si="2"/>
        <v>-0.12306858227161832</v>
      </c>
      <c r="H98" s="5">
        <v>61882</v>
      </c>
      <c r="I98" s="3">
        <v>57469</v>
      </c>
      <c r="J98" s="2">
        <f t="shared" si="3"/>
        <v>-7.1313144371545845E-2</v>
      </c>
      <c r="K98" s="10">
        <v>11.42</v>
      </c>
      <c r="L98">
        <v>-1.82</v>
      </c>
      <c r="M98" s="3">
        <v>75</v>
      </c>
      <c r="N98" s="5">
        <v>100</v>
      </c>
    </row>
    <row r="99" spans="1:14" x14ac:dyDescent="0.25">
      <c r="A99">
        <v>2020</v>
      </c>
      <c r="B99" t="s">
        <v>14</v>
      </c>
      <c r="C99" t="s">
        <v>22</v>
      </c>
      <c r="D99" t="s">
        <v>21</v>
      </c>
      <c r="E99" s="5">
        <v>2265</v>
      </c>
      <c r="F99">
        <v>1884</v>
      </c>
      <c r="G99" s="1">
        <f t="shared" si="2"/>
        <v>-0.16821192052980133</v>
      </c>
      <c r="H99" s="5">
        <v>46556</v>
      </c>
      <c r="I99" s="3">
        <v>44058</v>
      </c>
      <c r="J99" s="2">
        <f t="shared" si="3"/>
        <v>-5.3655812355013315E-2</v>
      </c>
      <c r="K99" s="10">
        <v>10.67</v>
      </c>
      <c r="L99">
        <v>-0.54</v>
      </c>
      <c r="M99" s="3">
        <v>289</v>
      </c>
      <c r="N99" s="5">
        <v>150</v>
      </c>
    </row>
    <row r="100" spans="1:14" x14ac:dyDescent="0.25">
      <c r="A100">
        <v>2009</v>
      </c>
      <c r="B100" t="s">
        <v>14</v>
      </c>
      <c r="C100" t="s">
        <v>20</v>
      </c>
      <c r="D100" t="s">
        <v>21</v>
      </c>
      <c r="E100" s="5">
        <v>1436</v>
      </c>
      <c r="F100">
        <v>1334</v>
      </c>
      <c r="G100" s="1">
        <f t="shared" si="2"/>
        <v>-7.1030640668523673E-2</v>
      </c>
      <c r="H100" s="5">
        <v>42011</v>
      </c>
      <c r="I100" s="3">
        <v>37936</v>
      </c>
      <c r="J100" s="2">
        <f t="shared" si="3"/>
        <v>-9.699840517959582E-2</v>
      </c>
      <c r="K100" s="10">
        <v>8.7899999999999991</v>
      </c>
      <c r="L100">
        <v>-3.19</v>
      </c>
      <c r="M100" s="3">
        <v>35</v>
      </c>
      <c r="N100" s="5">
        <v>192</v>
      </c>
    </row>
    <row r="101" spans="1:14" x14ac:dyDescent="0.25">
      <c r="A101">
        <v>2008</v>
      </c>
      <c r="B101" t="s">
        <v>19</v>
      </c>
      <c r="C101" t="s">
        <v>20</v>
      </c>
      <c r="D101" t="s">
        <v>16</v>
      </c>
      <c r="E101" s="5">
        <v>2616</v>
      </c>
      <c r="F101">
        <v>2404</v>
      </c>
      <c r="G101" s="1">
        <f t="shared" si="2"/>
        <v>-8.1039755351681952E-2</v>
      </c>
      <c r="H101" s="5">
        <v>80529</v>
      </c>
      <c r="I101" s="3">
        <v>71446</v>
      </c>
      <c r="J101" s="2">
        <f t="shared" si="3"/>
        <v>-0.11279166511443083</v>
      </c>
      <c r="K101" s="10">
        <v>7.38</v>
      </c>
      <c r="L101">
        <v>-0.12</v>
      </c>
      <c r="M101" s="3">
        <v>29</v>
      </c>
      <c r="N101" s="5">
        <v>54</v>
      </c>
    </row>
    <row r="102" spans="1:14" x14ac:dyDescent="0.25">
      <c r="A102">
        <v>2009</v>
      </c>
      <c r="B102" t="s">
        <v>17</v>
      </c>
      <c r="C102" t="s">
        <v>24</v>
      </c>
      <c r="D102" t="s">
        <v>21</v>
      </c>
      <c r="E102" s="5">
        <v>1226</v>
      </c>
      <c r="F102">
        <v>902</v>
      </c>
      <c r="G102" s="1">
        <f t="shared" si="2"/>
        <v>-0.26427406199021208</v>
      </c>
      <c r="H102" s="5">
        <v>42732</v>
      </c>
      <c r="I102" s="3">
        <v>41333</v>
      </c>
      <c r="J102" s="2">
        <f t="shared" si="3"/>
        <v>-3.2738931011888045E-2</v>
      </c>
      <c r="K102" s="10">
        <v>6.39</v>
      </c>
      <c r="L102">
        <v>2.29</v>
      </c>
      <c r="M102" s="3">
        <v>58</v>
      </c>
      <c r="N102" s="5">
        <v>48</v>
      </c>
    </row>
    <row r="103" spans="1:14" x14ac:dyDescent="0.25">
      <c r="A103">
        <v>2009</v>
      </c>
      <c r="B103" t="s">
        <v>14</v>
      </c>
      <c r="C103" t="s">
        <v>24</v>
      </c>
      <c r="D103" t="s">
        <v>25</v>
      </c>
      <c r="E103" s="5">
        <v>4035</v>
      </c>
      <c r="F103">
        <v>3797</v>
      </c>
      <c r="G103" s="1">
        <f t="shared" si="2"/>
        <v>-5.8983890954151179E-2</v>
      </c>
      <c r="H103" s="5">
        <v>61458</v>
      </c>
      <c r="I103" s="3">
        <v>60218</v>
      </c>
      <c r="J103" s="2">
        <f t="shared" si="3"/>
        <v>-2.0176380617657589E-2</v>
      </c>
      <c r="K103" s="10">
        <v>8.82</v>
      </c>
      <c r="L103">
        <v>0.59</v>
      </c>
      <c r="M103" s="3">
        <v>127</v>
      </c>
      <c r="N103" s="5">
        <v>80</v>
      </c>
    </row>
    <row r="104" spans="1:14" x14ac:dyDescent="0.25">
      <c r="A104">
        <v>2009</v>
      </c>
      <c r="B104" t="s">
        <v>14</v>
      </c>
      <c r="C104" t="s">
        <v>22</v>
      </c>
      <c r="D104" t="s">
        <v>21</v>
      </c>
      <c r="E104" s="5">
        <v>2382</v>
      </c>
      <c r="F104">
        <v>1919</v>
      </c>
      <c r="G104" s="1">
        <f t="shared" si="2"/>
        <v>-0.1943744752308984</v>
      </c>
      <c r="H104" s="5">
        <v>69436</v>
      </c>
      <c r="I104" s="3">
        <v>66476</v>
      </c>
      <c r="J104" s="2">
        <f t="shared" si="3"/>
        <v>-4.2629183708738985E-2</v>
      </c>
      <c r="K104" s="10">
        <v>4.88</v>
      </c>
      <c r="L104">
        <v>2.37</v>
      </c>
      <c r="M104" s="3">
        <v>104</v>
      </c>
      <c r="N104" s="5">
        <v>126</v>
      </c>
    </row>
    <row r="105" spans="1:14" x14ac:dyDescent="0.25">
      <c r="A105">
        <v>2021</v>
      </c>
      <c r="B105" t="s">
        <v>14</v>
      </c>
      <c r="C105" t="s">
        <v>22</v>
      </c>
      <c r="D105" t="s">
        <v>16</v>
      </c>
      <c r="E105" s="5">
        <v>4187</v>
      </c>
      <c r="F105">
        <v>4115</v>
      </c>
      <c r="G105" s="1">
        <f t="shared" si="2"/>
        <v>-1.7196083114401718E-2</v>
      </c>
      <c r="H105" s="5">
        <v>92334</v>
      </c>
      <c r="I105" s="3">
        <v>84411</v>
      </c>
      <c r="J105" s="2">
        <f t="shared" si="3"/>
        <v>-8.5808044707258432E-2</v>
      </c>
      <c r="K105" s="10">
        <v>9.3000000000000007</v>
      </c>
      <c r="L105">
        <v>-7.0000000000000007E-2</v>
      </c>
      <c r="M105" s="3">
        <v>38</v>
      </c>
      <c r="N105" s="5">
        <v>158</v>
      </c>
    </row>
    <row r="106" spans="1:14" x14ac:dyDescent="0.25">
      <c r="A106">
        <v>2020</v>
      </c>
      <c r="B106" t="s">
        <v>23</v>
      </c>
      <c r="C106" t="s">
        <v>20</v>
      </c>
      <c r="D106" t="s">
        <v>25</v>
      </c>
      <c r="E106" s="5">
        <v>616</v>
      </c>
      <c r="F106">
        <v>486</v>
      </c>
      <c r="G106" s="1">
        <f t="shared" si="2"/>
        <v>-0.21103896103896103</v>
      </c>
      <c r="H106" s="5">
        <v>99209</v>
      </c>
      <c r="I106" s="3">
        <v>91272</v>
      </c>
      <c r="J106" s="2">
        <f t="shared" si="3"/>
        <v>-8.0002822324587483E-2</v>
      </c>
      <c r="K106" s="10">
        <v>8.35</v>
      </c>
      <c r="L106">
        <v>-2.91</v>
      </c>
      <c r="M106" s="3">
        <v>54</v>
      </c>
      <c r="N106" s="5">
        <v>187</v>
      </c>
    </row>
    <row r="107" spans="1:14" x14ac:dyDescent="0.25">
      <c r="A107">
        <v>2008</v>
      </c>
      <c r="B107" t="s">
        <v>17</v>
      </c>
      <c r="C107" t="s">
        <v>18</v>
      </c>
      <c r="D107" t="s">
        <v>21</v>
      </c>
      <c r="E107" s="5">
        <v>2749</v>
      </c>
      <c r="F107">
        <v>2547</v>
      </c>
      <c r="G107" s="1">
        <f t="shared" si="2"/>
        <v>-7.3481265914878136E-2</v>
      </c>
      <c r="H107" s="5">
        <v>91589</v>
      </c>
      <c r="I107" s="3">
        <v>90303</v>
      </c>
      <c r="J107" s="2">
        <f t="shared" si="3"/>
        <v>-1.4040987454825361E-2</v>
      </c>
      <c r="K107" s="10">
        <v>5.97</v>
      </c>
      <c r="L107">
        <v>-1.8</v>
      </c>
      <c r="M107" s="3">
        <v>155</v>
      </c>
      <c r="N107" s="5">
        <v>69</v>
      </c>
    </row>
    <row r="108" spans="1:14" x14ac:dyDescent="0.25">
      <c r="A108">
        <v>2020</v>
      </c>
      <c r="B108" t="s">
        <v>17</v>
      </c>
      <c r="C108" t="s">
        <v>15</v>
      </c>
      <c r="D108" t="s">
        <v>16</v>
      </c>
      <c r="E108" s="5">
        <v>1015</v>
      </c>
      <c r="F108">
        <v>806</v>
      </c>
      <c r="G108" s="1">
        <f t="shared" si="2"/>
        <v>-0.20591133004926107</v>
      </c>
      <c r="H108" s="5">
        <v>84734</v>
      </c>
      <c r="I108" s="3">
        <v>78831</v>
      </c>
      <c r="J108" s="2">
        <f t="shared" si="3"/>
        <v>-6.966506951164822E-2</v>
      </c>
      <c r="K108" s="10">
        <v>4.1399999999999997</v>
      </c>
      <c r="L108">
        <v>1.1299999999999999</v>
      </c>
      <c r="M108" s="3">
        <v>154</v>
      </c>
      <c r="N108" s="5">
        <v>79</v>
      </c>
    </row>
    <row r="109" spans="1:14" x14ac:dyDescent="0.25">
      <c r="A109">
        <v>2020</v>
      </c>
      <c r="B109" t="s">
        <v>23</v>
      </c>
      <c r="C109" t="s">
        <v>20</v>
      </c>
      <c r="D109" t="s">
        <v>21</v>
      </c>
      <c r="E109" s="5">
        <v>3129</v>
      </c>
      <c r="F109">
        <v>2963</v>
      </c>
      <c r="G109" s="1">
        <f t="shared" si="2"/>
        <v>-5.3052093320549699E-2</v>
      </c>
      <c r="H109" s="5">
        <v>86483</v>
      </c>
      <c r="I109" s="3">
        <v>83155</v>
      </c>
      <c r="J109" s="2">
        <f t="shared" si="3"/>
        <v>-3.8481551287536282E-2</v>
      </c>
      <c r="K109" s="10">
        <v>10.6</v>
      </c>
      <c r="L109">
        <v>-1.34</v>
      </c>
      <c r="M109" s="3">
        <v>50</v>
      </c>
      <c r="N109" s="5">
        <v>29</v>
      </c>
    </row>
    <row r="110" spans="1:14" x14ac:dyDescent="0.25">
      <c r="A110">
        <v>2008</v>
      </c>
      <c r="B110" t="s">
        <v>14</v>
      </c>
      <c r="C110" t="s">
        <v>15</v>
      </c>
      <c r="D110" t="s">
        <v>16</v>
      </c>
      <c r="E110" s="5">
        <v>3153</v>
      </c>
      <c r="F110">
        <v>3046</v>
      </c>
      <c r="G110" s="1">
        <f t="shared" si="2"/>
        <v>-3.3935934031081506E-2</v>
      </c>
      <c r="H110" s="5">
        <v>92253</v>
      </c>
      <c r="I110" s="3">
        <v>90600</v>
      </c>
      <c r="J110" s="2">
        <f t="shared" si="3"/>
        <v>-1.7918116484016779E-2</v>
      </c>
      <c r="K110" s="10">
        <v>10.45</v>
      </c>
      <c r="L110">
        <v>-3.62</v>
      </c>
      <c r="M110" s="3">
        <v>71</v>
      </c>
      <c r="N110" s="5">
        <v>5</v>
      </c>
    </row>
    <row r="111" spans="1:14" x14ac:dyDescent="0.25">
      <c r="A111">
        <v>2020</v>
      </c>
      <c r="B111" t="s">
        <v>14</v>
      </c>
      <c r="C111" t="s">
        <v>24</v>
      </c>
      <c r="D111" t="s">
        <v>25</v>
      </c>
      <c r="E111" s="5">
        <v>3823</v>
      </c>
      <c r="F111">
        <v>3490</v>
      </c>
      <c r="G111" s="1">
        <f t="shared" si="2"/>
        <v>-8.7104368297148835E-2</v>
      </c>
      <c r="H111" s="5">
        <v>91719</v>
      </c>
      <c r="I111" s="3">
        <v>84191</v>
      </c>
      <c r="J111" s="2">
        <f t="shared" si="3"/>
        <v>-8.2076777984932237E-2</v>
      </c>
      <c r="K111" s="10">
        <v>11.3</v>
      </c>
      <c r="L111">
        <v>-3.75</v>
      </c>
      <c r="M111" s="3">
        <v>50</v>
      </c>
      <c r="N111" s="5">
        <v>115</v>
      </c>
    </row>
    <row r="112" spans="1:14" x14ac:dyDescent="0.25">
      <c r="A112">
        <v>2021</v>
      </c>
      <c r="B112" t="s">
        <v>23</v>
      </c>
      <c r="C112" t="s">
        <v>24</v>
      </c>
      <c r="D112" t="s">
        <v>25</v>
      </c>
      <c r="E112" s="5">
        <v>4832</v>
      </c>
      <c r="F112">
        <v>4396</v>
      </c>
      <c r="G112" s="1">
        <f t="shared" si="2"/>
        <v>-9.0231788079470202E-2</v>
      </c>
      <c r="H112" s="5">
        <v>95879</v>
      </c>
      <c r="I112" s="3">
        <v>86152</v>
      </c>
      <c r="J112" s="2">
        <f t="shared" si="3"/>
        <v>-0.10145078692935888</v>
      </c>
      <c r="K112" s="10">
        <v>11.89</v>
      </c>
      <c r="L112">
        <v>-2.85</v>
      </c>
      <c r="M112" s="3">
        <v>278</v>
      </c>
      <c r="N112" s="5">
        <v>103</v>
      </c>
    </row>
    <row r="113" spans="1:14" x14ac:dyDescent="0.25">
      <c r="A113">
        <v>2009</v>
      </c>
      <c r="B113" t="s">
        <v>17</v>
      </c>
      <c r="C113" t="s">
        <v>22</v>
      </c>
      <c r="D113" t="s">
        <v>16</v>
      </c>
      <c r="E113" s="5">
        <v>2536</v>
      </c>
      <c r="F113">
        <v>2430</v>
      </c>
      <c r="G113" s="1">
        <f t="shared" si="2"/>
        <v>-4.1798107255520502E-2</v>
      </c>
      <c r="H113" s="5">
        <v>52493</v>
      </c>
      <c r="I113" s="3">
        <v>44101</v>
      </c>
      <c r="J113" s="2">
        <f t="shared" si="3"/>
        <v>-0.15986893490560647</v>
      </c>
      <c r="K113" s="10">
        <v>9.36</v>
      </c>
      <c r="L113">
        <v>-4.72</v>
      </c>
      <c r="M113" s="3">
        <v>45</v>
      </c>
      <c r="N113" s="5">
        <v>82</v>
      </c>
    </row>
    <row r="114" spans="1:14" x14ac:dyDescent="0.25">
      <c r="A114">
        <v>2009</v>
      </c>
      <c r="B114" t="s">
        <v>17</v>
      </c>
      <c r="C114" t="s">
        <v>22</v>
      </c>
      <c r="D114" t="s">
        <v>21</v>
      </c>
      <c r="E114" s="5">
        <v>3873</v>
      </c>
      <c r="F114">
        <v>3544</v>
      </c>
      <c r="G114" s="1">
        <f t="shared" si="2"/>
        <v>-8.4947069455202681E-2</v>
      </c>
      <c r="H114" s="5">
        <v>52976</v>
      </c>
      <c r="I114" s="3">
        <v>46574</v>
      </c>
      <c r="J114" s="2">
        <f t="shared" si="3"/>
        <v>-0.12084717607973422</v>
      </c>
      <c r="K114" s="10">
        <v>9.27</v>
      </c>
      <c r="L114">
        <v>-3.36</v>
      </c>
      <c r="M114" s="3">
        <v>62</v>
      </c>
      <c r="N114" s="5">
        <v>19</v>
      </c>
    </row>
    <row r="115" spans="1:14" x14ac:dyDescent="0.25">
      <c r="A115">
        <v>2009</v>
      </c>
      <c r="B115" t="s">
        <v>19</v>
      </c>
      <c r="C115" t="s">
        <v>20</v>
      </c>
      <c r="D115" t="s">
        <v>16</v>
      </c>
      <c r="E115" s="5">
        <v>717</v>
      </c>
      <c r="F115">
        <v>574</v>
      </c>
      <c r="G115" s="1">
        <f t="shared" si="2"/>
        <v>-0.19944211994421199</v>
      </c>
      <c r="H115" s="5">
        <v>37963</v>
      </c>
      <c r="I115" s="3">
        <v>29160</v>
      </c>
      <c r="J115" s="2">
        <f t="shared" si="3"/>
        <v>-0.23188367621104761</v>
      </c>
      <c r="K115" s="10">
        <v>6.12</v>
      </c>
      <c r="L115">
        <v>0.74</v>
      </c>
      <c r="M115" s="3">
        <v>58</v>
      </c>
      <c r="N115" s="5">
        <v>197</v>
      </c>
    </row>
    <row r="116" spans="1:14" x14ac:dyDescent="0.25">
      <c r="A116">
        <v>2021</v>
      </c>
      <c r="B116" t="s">
        <v>14</v>
      </c>
      <c r="C116" t="s">
        <v>22</v>
      </c>
      <c r="D116" t="s">
        <v>21</v>
      </c>
      <c r="E116" s="5">
        <v>2605</v>
      </c>
      <c r="F116">
        <v>2530</v>
      </c>
      <c r="G116" s="1">
        <f t="shared" si="2"/>
        <v>-2.8790786948176585E-2</v>
      </c>
      <c r="H116" s="5">
        <v>72213</v>
      </c>
      <c r="I116" s="3">
        <v>63119</v>
      </c>
      <c r="J116" s="2">
        <f t="shared" si="3"/>
        <v>-0.1259330037527869</v>
      </c>
      <c r="K116" s="10">
        <v>6.21</v>
      </c>
      <c r="L116">
        <v>-0.28999999999999998</v>
      </c>
      <c r="M116" s="3">
        <v>33</v>
      </c>
      <c r="N116" s="5">
        <v>151</v>
      </c>
    </row>
    <row r="117" spans="1:14" x14ac:dyDescent="0.25">
      <c r="A117">
        <v>2021</v>
      </c>
      <c r="B117" t="s">
        <v>23</v>
      </c>
      <c r="C117" t="s">
        <v>20</v>
      </c>
      <c r="D117" t="s">
        <v>21</v>
      </c>
      <c r="E117" s="5">
        <v>1178</v>
      </c>
      <c r="F117">
        <v>1116</v>
      </c>
      <c r="G117" s="1">
        <f t="shared" si="2"/>
        <v>-5.2631578947368418E-2</v>
      </c>
      <c r="H117" s="5">
        <v>79478</v>
      </c>
      <c r="I117" s="3">
        <v>70727</v>
      </c>
      <c r="J117" s="2">
        <f t="shared" si="3"/>
        <v>-0.11010594126676565</v>
      </c>
      <c r="K117" s="10">
        <v>7.28</v>
      </c>
      <c r="L117">
        <v>0.57999999999999996</v>
      </c>
      <c r="M117" s="3">
        <v>239</v>
      </c>
      <c r="N117" s="5">
        <v>60</v>
      </c>
    </row>
    <row r="118" spans="1:14" x14ac:dyDescent="0.25">
      <c r="A118">
        <v>2020</v>
      </c>
      <c r="B118" t="s">
        <v>14</v>
      </c>
      <c r="C118" t="s">
        <v>15</v>
      </c>
      <c r="D118" t="s">
        <v>16</v>
      </c>
      <c r="E118" s="5">
        <v>870</v>
      </c>
      <c r="F118">
        <v>683</v>
      </c>
      <c r="G118" s="1">
        <f t="shared" si="2"/>
        <v>-0.21494252873563219</v>
      </c>
      <c r="H118" s="5">
        <v>84889</v>
      </c>
      <c r="I118" s="3">
        <v>83311</v>
      </c>
      <c r="J118" s="2">
        <f t="shared" si="3"/>
        <v>-1.8588980904475257E-2</v>
      </c>
      <c r="K118" s="10">
        <v>10.66</v>
      </c>
      <c r="L118">
        <v>-3.96</v>
      </c>
      <c r="M118" s="3">
        <v>162</v>
      </c>
      <c r="N118" s="5">
        <v>8</v>
      </c>
    </row>
    <row r="119" spans="1:14" x14ac:dyDescent="0.25">
      <c r="A119">
        <v>2020</v>
      </c>
      <c r="B119" t="s">
        <v>17</v>
      </c>
      <c r="C119" t="s">
        <v>15</v>
      </c>
      <c r="D119" t="s">
        <v>25</v>
      </c>
      <c r="E119" s="5">
        <v>1806</v>
      </c>
      <c r="F119">
        <v>1742</v>
      </c>
      <c r="G119" s="1">
        <f t="shared" si="2"/>
        <v>-3.5437430786267994E-2</v>
      </c>
      <c r="H119" s="5">
        <v>47416</v>
      </c>
      <c r="I119" s="3">
        <v>40268</v>
      </c>
      <c r="J119" s="2">
        <f t="shared" si="3"/>
        <v>-0.15075080141724312</v>
      </c>
      <c r="K119" s="10">
        <v>7.64</v>
      </c>
      <c r="L119">
        <v>1.85</v>
      </c>
      <c r="M119" s="3">
        <v>207</v>
      </c>
      <c r="N119" s="5">
        <v>109</v>
      </c>
    </row>
    <row r="120" spans="1:14" x14ac:dyDescent="0.25">
      <c r="A120">
        <v>2008</v>
      </c>
      <c r="B120" t="s">
        <v>17</v>
      </c>
      <c r="C120" t="s">
        <v>15</v>
      </c>
      <c r="D120" t="s">
        <v>16</v>
      </c>
      <c r="E120" s="5">
        <v>709</v>
      </c>
      <c r="F120">
        <v>565</v>
      </c>
      <c r="G120" s="1">
        <f t="shared" si="2"/>
        <v>-0.20310296191819463</v>
      </c>
      <c r="H120" s="5">
        <v>88141</v>
      </c>
      <c r="I120" s="3">
        <v>85764</v>
      </c>
      <c r="J120" s="2">
        <f t="shared" si="3"/>
        <v>-2.6968153299826415E-2</v>
      </c>
      <c r="K120" s="10">
        <v>5.32</v>
      </c>
      <c r="L120">
        <v>-1.8</v>
      </c>
      <c r="M120" s="3">
        <v>11</v>
      </c>
      <c r="N120" s="5">
        <v>190</v>
      </c>
    </row>
    <row r="121" spans="1:14" x14ac:dyDescent="0.25">
      <c r="A121">
        <v>2009</v>
      </c>
      <c r="B121" t="s">
        <v>17</v>
      </c>
      <c r="C121" t="s">
        <v>18</v>
      </c>
      <c r="D121" t="s">
        <v>25</v>
      </c>
      <c r="E121" s="5">
        <v>601</v>
      </c>
      <c r="F121">
        <v>260</v>
      </c>
      <c r="G121" s="1">
        <f t="shared" si="2"/>
        <v>-0.56738768718802002</v>
      </c>
      <c r="H121" s="5">
        <v>49346</v>
      </c>
      <c r="I121" s="3">
        <v>47639</v>
      </c>
      <c r="J121" s="2">
        <f t="shared" si="3"/>
        <v>-3.4592469501074051E-2</v>
      </c>
      <c r="K121" s="10">
        <v>7.04</v>
      </c>
      <c r="L121">
        <v>-3.73</v>
      </c>
      <c r="M121" s="3">
        <v>233</v>
      </c>
      <c r="N121" s="5">
        <v>166</v>
      </c>
    </row>
    <row r="122" spans="1:14" x14ac:dyDescent="0.25">
      <c r="A122">
        <v>2009</v>
      </c>
      <c r="B122" t="s">
        <v>19</v>
      </c>
      <c r="C122" t="s">
        <v>22</v>
      </c>
      <c r="D122" t="s">
        <v>25</v>
      </c>
      <c r="E122" s="5">
        <v>3515</v>
      </c>
      <c r="F122">
        <v>3317</v>
      </c>
      <c r="G122" s="1">
        <f t="shared" si="2"/>
        <v>-5.633001422475107E-2</v>
      </c>
      <c r="H122" s="5">
        <v>37030</v>
      </c>
      <c r="I122" s="3">
        <v>33989</v>
      </c>
      <c r="J122" s="2">
        <f t="shared" si="3"/>
        <v>-8.2122603294625979E-2</v>
      </c>
      <c r="K122" s="10">
        <v>5.05</v>
      </c>
      <c r="L122">
        <v>-0.22</v>
      </c>
      <c r="M122" s="3">
        <v>49</v>
      </c>
      <c r="N122" s="5">
        <v>78</v>
      </c>
    </row>
    <row r="123" spans="1:14" x14ac:dyDescent="0.25">
      <c r="A123">
        <v>2009</v>
      </c>
      <c r="B123" t="s">
        <v>17</v>
      </c>
      <c r="C123" t="s">
        <v>20</v>
      </c>
      <c r="D123" t="s">
        <v>25</v>
      </c>
      <c r="E123" s="5">
        <v>2052</v>
      </c>
      <c r="F123">
        <v>1609</v>
      </c>
      <c r="G123" s="1">
        <f t="shared" si="2"/>
        <v>-0.2158869395711501</v>
      </c>
      <c r="H123" s="5">
        <v>42754</v>
      </c>
      <c r="I123" s="3">
        <v>35556</v>
      </c>
      <c r="J123" s="2">
        <f t="shared" si="3"/>
        <v>-0.16835851616223044</v>
      </c>
      <c r="K123" s="10">
        <v>9.77</v>
      </c>
      <c r="L123">
        <v>0.13</v>
      </c>
      <c r="M123" s="3">
        <v>168</v>
      </c>
      <c r="N123" s="5">
        <v>27</v>
      </c>
    </row>
    <row r="124" spans="1:14" x14ac:dyDescent="0.25">
      <c r="A124">
        <v>2020</v>
      </c>
      <c r="B124" t="s">
        <v>14</v>
      </c>
      <c r="C124" t="s">
        <v>18</v>
      </c>
      <c r="D124" t="s">
        <v>16</v>
      </c>
      <c r="E124" s="5">
        <v>3083</v>
      </c>
      <c r="F124">
        <v>2859</v>
      </c>
      <c r="G124" s="1">
        <f t="shared" si="2"/>
        <v>-7.2656503405773593E-2</v>
      </c>
      <c r="H124" s="5">
        <v>37566</v>
      </c>
      <c r="I124" s="3">
        <v>28126</v>
      </c>
      <c r="J124" s="2">
        <f t="shared" si="3"/>
        <v>-0.25129106106585741</v>
      </c>
      <c r="K124" s="10">
        <v>5.1100000000000003</v>
      </c>
      <c r="L124">
        <v>0.28000000000000003</v>
      </c>
      <c r="M124" s="3">
        <v>79</v>
      </c>
      <c r="N124" s="5">
        <v>102</v>
      </c>
    </row>
    <row r="125" spans="1:14" x14ac:dyDescent="0.25">
      <c r="A125">
        <v>2008</v>
      </c>
      <c r="B125" t="s">
        <v>17</v>
      </c>
      <c r="C125" t="s">
        <v>20</v>
      </c>
      <c r="D125" t="s">
        <v>16</v>
      </c>
      <c r="E125" s="5">
        <v>4302</v>
      </c>
      <c r="F125">
        <v>3941</v>
      </c>
      <c r="G125" s="1">
        <f t="shared" si="2"/>
        <v>-8.3914458391445845E-2</v>
      </c>
      <c r="H125" s="5">
        <v>90132</v>
      </c>
      <c r="I125" s="3">
        <v>87090</v>
      </c>
      <c r="J125" s="2">
        <f t="shared" si="3"/>
        <v>-3.3750499267740645E-2</v>
      </c>
      <c r="K125" s="10">
        <v>7.53</v>
      </c>
      <c r="L125">
        <v>-4.67</v>
      </c>
      <c r="M125" s="3">
        <v>58</v>
      </c>
      <c r="N125" s="5">
        <v>20</v>
      </c>
    </row>
    <row r="126" spans="1:14" x14ac:dyDescent="0.25">
      <c r="A126">
        <v>2021</v>
      </c>
      <c r="B126" t="s">
        <v>23</v>
      </c>
      <c r="C126" t="s">
        <v>18</v>
      </c>
      <c r="D126" t="s">
        <v>16</v>
      </c>
      <c r="E126" s="5">
        <v>3668</v>
      </c>
      <c r="F126">
        <v>3253</v>
      </c>
      <c r="G126" s="1">
        <f t="shared" si="2"/>
        <v>-0.11314067611777535</v>
      </c>
      <c r="H126" s="5">
        <v>73589</v>
      </c>
      <c r="I126" s="3">
        <v>63605</v>
      </c>
      <c r="J126" s="2">
        <f t="shared" si="3"/>
        <v>-0.13567245104567258</v>
      </c>
      <c r="K126" s="10">
        <v>4.67</v>
      </c>
      <c r="L126">
        <v>-4.63</v>
      </c>
      <c r="M126" s="3">
        <v>170</v>
      </c>
      <c r="N126" s="5">
        <v>94</v>
      </c>
    </row>
    <row r="127" spans="1:14" x14ac:dyDescent="0.25">
      <c r="A127">
        <v>2009</v>
      </c>
      <c r="B127" t="s">
        <v>14</v>
      </c>
      <c r="C127" t="s">
        <v>15</v>
      </c>
      <c r="D127" t="s">
        <v>16</v>
      </c>
      <c r="E127" s="5">
        <v>3549</v>
      </c>
      <c r="F127">
        <v>3424</v>
      </c>
      <c r="G127" s="1">
        <f t="shared" si="2"/>
        <v>-3.5221189067342916E-2</v>
      </c>
      <c r="H127" s="5">
        <v>82805</v>
      </c>
      <c r="I127" s="3">
        <v>75078</v>
      </c>
      <c r="J127" s="2">
        <f t="shared" si="3"/>
        <v>-9.3315621037376964E-2</v>
      </c>
      <c r="K127" s="10">
        <v>10.33</v>
      </c>
      <c r="L127">
        <v>-3.03</v>
      </c>
      <c r="M127" s="3">
        <v>198</v>
      </c>
      <c r="N127" s="5">
        <v>167</v>
      </c>
    </row>
    <row r="128" spans="1:14" x14ac:dyDescent="0.25">
      <c r="A128">
        <v>2009</v>
      </c>
      <c r="B128" t="s">
        <v>17</v>
      </c>
      <c r="C128" t="s">
        <v>24</v>
      </c>
      <c r="D128" t="s">
        <v>25</v>
      </c>
      <c r="E128" s="5">
        <v>4995</v>
      </c>
      <c r="F128">
        <v>4590</v>
      </c>
      <c r="G128" s="1">
        <f t="shared" si="2"/>
        <v>-8.1081081081081086E-2</v>
      </c>
      <c r="H128" s="5">
        <v>42088</v>
      </c>
      <c r="I128" s="3">
        <v>36678</v>
      </c>
      <c r="J128" s="2">
        <f t="shared" si="3"/>
        <v>-0.12854020148260786</v>
      </c>
      <c r="K128" s="10">
        <v>9.7200000000000006</v>
      </c>
      <c r="L128">
        <v>-1.53</v>
      </c>
      <c r="M128" s="3">
        <v>26</v>
      </c>
      <c r="N128" s="5">
        <v>54</v>
      </c>
    </row>
    <row r="129" spans="1:14" x14ac:dyDescent="0.25">
      <c r="A129">
        <v>2009</v>
      </c>
      <c r="B129" t="s">
        <v>17</v>
      </c>
      <c r="C129" t="s">
        <v>24</v>
      </c>
      <c r="D129" t="s">
        <v>21</v>
      </c>
      <c r="E129" s="5">
        <v>1396</v>
      </c>
      <c r="F129">
        <v>1197</v>
      </c>
      <c r="G129" s="1">
        <f t="shared" si="2"/>
        <v>-0.14255014326647564</v>
      </c>
      <c r="H129" s="5">
        <v>55609</v>
      </c>
      <c r="I129" s="3">
        <v>47733</v>
      </c>
      <c r="J129" s="2">
        <f t="shared" si="3"/>
        <v>-0.14163175025625349</v>
      </c>
      <c r="K129" s="10">
        <v>10.39</v>
      </c>
      <c r="L129">
        <v>-3.64</v>
      </c>
      <c r="M129" s="3">
        <v>184</v>
      </c>
      <c r="N129" s="5">
        <v>44</v>
      </c>
    </row>
    <row r="130" spans="1:14" x14ac:dyDescent="0.25">
      <c r="A130">
        <v>2020</v>
      </c>
      <c r="B130" t="s">
        <v>14</v>
      </c>
      <c r="C130" t="s">
        <v>22</v>
      </c>
      <c r="D130" t="s">
        <v>16</v>
      </c>
      <c r="E130" s="5">
        <v>960</v>
      </c>
      <c r="F130">
        <v>896</v>
      </c>
      <c r="G130" s="1">
        <f t="shared" si="2"/>
        <v>-6.6666666666666666E-2</v>
      </c>
      <c r="H130" s="5">
        <v>72333</v>
      </c>
      <c r="I130" s="3">
        <v>67344</v>
      </c>
      <c r="J130" s="2">
        <f t="shared" si="3"/>
        <v>-6.8972668076811419E-2</v>
      </c>
      <c r="K130" s="10">
        <v>11.25</v>
      </c>
      <c r="L130">
        <v>-4.0599999999999996</v>
      </c>
      <c r="M130" s="3">
        <v>73</v>
      </c>
      <c r="N130" s="5">
        <v>157</v>
      </c>
    </row>
    <row r="131" spans="1:14" x14ac:dyDescent="0.25">
      <c r="A131">
        <v>2009</v>
      </c>
      <c r="B131" t="s">
        <v>23</v>
      </c>
      <c r="C131" t="s">
        <v>18</v>
      </c>
      <c r="D131" t="s">
        <v>21</v>
      </c>
      <c r="E131" s="5">
        <v>2646</v>
      </c>
      <c r="F131">
        <v>2441</v>
      </c>
      <c r="G131" s="1">
        <f t="shared" ref="G131:G194" si="4">(F131-E131)/E131</f>
        <v>-7.7475434618291761E-2</v>
      </c>
      <c r="H131" s="5">
        <v>47149</v>
      </c>
      <c r="I131" s="3">
        <v>38206</v>
      </c>
      <c r="J131" s="2">
        <f t="shared" ref="J131:J194" si="5">(I131-H131)/H131</f>
        <v>-0.18967528473562537</v>
      </c>
      <c r="K131" s="10">
        <v>11.69</v>
      </c>
      <c r="L131">
        <v>-3.6</v>
      </c>
      <c r="M131" s="3">
        <v>137</v>
      </c>
      <c r="N131" s="5">
        <v>189</v>
      </c>
    </row>
    <row r="132" spans="1:14" x14ac:dyDescent="0.25">
      <c r="A132">
        <v>2008</v>
      </c>
      <c r="B132" t="s">
        <v>14</v>
      </c>
      <c r="C132" t="s">
        <v>20</v>
      </c>
      <c r="D132" t="s">
        <v>21</v>
      </c>
      <c r="E132" s="5">
        <v>1546</v>
      </c>
      <c r="F132">
        <v>1076</v>
      </c>
      <c r="G132" s="1">
        <f t="shared" si="4"/>
        <v>-0.30401034928848641</v>
      </c>
      <c r="H132" s="5">
        <v>43776</v>
      </c>
      <c r="I132" s="3">
        <v>36231</v>
      </c>
      <c r="J132" s="2">
        <f t="shared" si="5"/>
        <v>-0.17235471491228072</v>
      </c>
      <c r="K132" s="10">
        <v>7.31</v>
      </c>
      <c r="L132">
        <v>-0.56000000000000005</v>
      </c>
      <c r="M132" s="3">
        <v>56</v>
      </c>
      <c r="N132" s="5">
        <v>147</v>
      </c>
    </row>
    <row r="133" spans="1:14" x14ac:dyDescent="0.25">
      <c r="A133">
        <v>2020</v>
      </c>
      <c r="B133" t="s">
        <v>14</v>
      </c>
      <c r="C133" t="s">
        <v>24</v>
      </c>
      <c r="D133" t="s">
        <v>21</v>
      </c>
      <c r="E133" s="5">
        <v>1544</v>
      </c>
      <c r="F133">
        <v>1365</v>
      </c>
      <c r="G133" s="1">
        <f t="shared" si="4"/>
        <v>-0.11593264248704663</v>
      </c>
      <c r="H133" s="5">
        <v>41561</v>
      </c>
      <c r="I133" s="3">
        <v>37905</v>
      </c>
      <c r="J133" s="2">
        <f t="shared" si="5"/>
        <v>-8.7967084526358846E-2</v>
      </c>
      <c r="K133" s="10">
        <v>10.220000000000001</v>
      </c>
      <c r="L133">
        <v>1</v>
      </c>
      <c r="M133" s="3">
        <v>124</v>
      </c>
      <c r="N133" s="5">
        <v>188</v>
      </c>
    </row>
    <row r="134" spans="1:14" x14ac:dyDescent="0.25">
      <c r="A134">
        <v>2020</v>
      </c>
      <c r="B134" t="s">
        <v>23</v>
      </c>
      <c r="C134" t="s">
        <v>22</v>
      </c>
      <c r="D134" t="s">
        <v>21</v>
      </c>
      <c r="E134" s="5">
        <v>2846</v>
      </c>
      <c r="F134">
        <v>2613</v>
      </c>
      <c r="G134" s="1">
        <f t="shared" si="4"/>
        <v>-8.1869290231904424E-2</v>
      </c>
      <c r="H134" s="5">
        <v>77616</v>
      </c>
      <c r="I134" s="3">
        <v>75876</v>
      </c>
      <c r="J134" s="2">
        <f t="shared" si="5"/>
        <v>-2.2418058132343845E-2</v>
      </c>
      <c r="K134" s="10">
        <v>6.93</v>
      </c>
      <c r="L134">
        <v>-3.44</v>
      </c>
      <c r="M134" s="3">
        <v>113</v>
      </c>
      <c r="N134" s="5">
        <v>23</v>
      </c>
    </row>
    <row r="135" spans="1:14" x14ac:dyDescent="0.25">
      <c r="A135">
        <v>2009</v>
      </c>
      <c r="B135" t="s">
        <v>14</v>
      </c>
      <c r="C135" t="s">
        <v>18</v>
      </c>
      <c r="D135" t="s">
        <v>21</v>
      </c>
      <c r="E135" s="5">
        <v>3719</v>
      </c>
      <c r="F135">
        <v>3612</v>
      </c>
      <c r="G135" s="1">
        <f t="shared" si="4"/>
        <v>-2.8771175047055661E-2</v>
      </c>
      <c r="H135" s="5">
        <v>74771</v>
      </c>
      <c r="I135" s="3">
        <v>69345</v>
      </c>
      <c r="J135" s="2">
        <f t="shared" si="5"/>
        <v>-7.2568241697984509E-2</v>
      </c>
      <c r="K135" s="10">
        <v>8.89</v>
      </c>
      <c r="L135">
        <v>-1.66</v>
      </c>
      <c r="M135" s="3">
        <v>44</v>
      </c>
      <c r="N135" s="5">
        <v>27</v>
      </c>
    </row>
    <row r="136" spans="1:14" x14ac:dyDescent="0.25">
      <c r="A136">
        <v>2009</v>
      </c>
      <c r="B136" t="s">
        <v>19</v>
      </c>
      <c r="C136" t="s">
        <v>20</v>
      </c>
      <c r="D136" t="s">
        <v>21</v>
      </c>
      <c r="E136" s="5">
        <v>3268</v>
      </c>
      <c r="F136">
        <v>3145</v>
      </c>
      <c r="G136" s="1">
        <f t="shared" si="4"/>
        <v>-3.763769889840881E-2</v>
      </c>
      <c r="H136" s="5">
        <v>94201</v>
      </c>
      <c r="I136" s="3">
        <v>89235</v>
      </c>
      <c r="J136" s="2">
        <f t="shared" si="5"/>
        <v>-5.2717062451566335E-2</v>
      </c>
      <c r="K136" s="10">
        <v>4.6399999999999997</v>
      </c>
      <c r="L136">
        <v>-0.18</v>
      </c>
      <c r="M136" s="3">
        <v>144</v>
      </c>
      <c r="N136" s="5">
        <v>187</v>
      </c>
    </row>
    <row r="137" spans="1:14" x14ac:dyDescent="0.25">
      <c r="A137">
        <v>2021</v>
      </c>
      <c r="B137" t="s">
        <v>19</v>
      </c>
      <c r="C137" t="s">
        <v>22</v>
      </c>
      <c r="D137" t="s">
        <v>16</v>
      </c>
      <c r="E137" s="5">
        <v>1104</v>
      </c>
      <c r="F137">
        <v>826</v>
      </c>
      <c r="G137" s="1">
        <f t="shared" si="4"/>
        <v>-0.25181159420289856</v>
      </c>
      <c r="H137" s="5">
        <v>81209</v>
      </c>
      <c r="I137" s="3">
        <v>77108</v>
      </c>
      <c r="J137" s="2">
        <f t="shared" si="5"/>
        <v>-5.0499328892117869E-2</v>
      </c>
      <c r="K137" s="10">
        <v>4.3499999999999996</v>
      </c>
      <c r="L137">
        <v>1.0900000000000001</v>
      </c>
      <c r="M137" s="3">
        <v>75</v>
      </c>
      <c r="N137" s="5">
        <v>46</v>
      </c>
    </row>
    <row r="138" spans="1:14" x14ac:dyDescent="0.25">
      <c r="A138">
        <v>2009</v>
      </c>
      <c r="B138" t="s">
        <v>19</v>
      </c>
      <c r="C138" t="s">
        <v>24</v>
      </c>
      <c r="D138" t="s">
        <v>25</v>
      </c>
      <c r="E138" s="5">
        <v>656</v>
      </c>
      <c r="F138">
        <v>270</v>
      </c>
      <c r="G138" s="1">
        <f t="shared" si="4"/>
        <v>-0.58841463414634143</v>
      </c>
      <c r="H138" s="5">
        <v>72529</v>
      </c>
      <c r="I138" s="3">
        <v>62604</v>
      </c>
      <c r="J138" s="2">
        <f t="shared" si="5"/>
        <v>-0.13684181499813869</v>
      </c>
      <c r="K138" s="10">
        <v>8.85</v>
      </c>
      <c r="L138">
        <v>-2.8</v>
      </c>
      <c r="M138" s="3">
        <v>250</v>
      </c>
      <c r="N138" s="5">
        <v>14</v>
      </c>
    </row>
    <row r="139" spans="1:14" x14ac:dyDescent="0.25">
      <c r="A139">
        <v>2020</v>
      </c>
      <c r="B139" t="s">
        <v>14</v>
      </c>
      <c r="C139" t="s">
        <v>18</v>
      </c>
      <c r="D139" t="s">
        <v>21</v>
      </c>
      <c r="E139" s="5">
        <v>3112</v>
      </c>
      <c r="F139">
        <v>2903</v>
      </c>
      <c r="G139" s="1">
        <f t="shared" si="4"/>
        <v>-6.7159383033419021E-2</v>
      </c>
      <c r="H139" s="5">
        <v>83812</v>
      </c>
      <c r="I139" s="3">
        <v>78852</v>
      </c>
      <c r="J139" s="2">
        <f t="shared" si="5"/>
        <v>-5.9180069679759459E-2</v>
      </c>
      <c r="K139" s="10">
        <v>4.9400000000000004</v>
      </c>
      <c r="L139">
        <v>0.87</v>
      </c>
      <c r="M139" s="3">
        <v>121</v>
      </c>
      <c r="N139" s="5">
        <v>167</v>
      </c>
    </row>
    <row r="140" spans="1:14" x14ac:dyDescent="0.25">
      <c r="A140">
        <v>2008</v>
      </c>
      <c r="B140" t="s">
        <v>14</v>
      </c>
      <c r="C140" t="s">
        <v>22</v>
      </c>
      <c r="D140" t="s">
        <v>25</v>
      </c>
      <c r="E140" s="5">
        <v>4859</v>
      </c>
      <c r="F140">
        <v>4682</v>
      </c>
      <c r="G140" s="1">
        <f t="shared" si="4"/>
        <v>-3.6427248405021609E-2</v>
      </c>
      <c r="H140" s="5">
        <v>93807</v>
      </c>
      <c r="I140" s="3">
        <v>86994</v>
      </c>
      <c r="J140" s="2">
        <f t="shared" si="5"/>
        <v>-7.2627842271898682E-2</v>
      </c>
      <c r="K140" s="10">
        <v>4.54</v>
      </c>
      <c r="L140">
        <v>1.01</v>
      </c>
      <c r="M140" s="3">
        <v>211</v>
      </c>
      <c r="N140" s="5">
        <v>182</v>
      </c>
    </row>
    <row r="141" spans="1:14" x14ac:dyDescent="0.25">
      <c r="A141">
        <v>2008</v>
      </c>
      <c r="B141" t="s">
        <v>19</v>
      </c>
      <c r="C141" t="s">
        <v>18</v>
      </c>
      <c r="D141" t="s">
        <v>21</v>
      </c>
      <c r="E141" s="5">
        <v>4153</v>
      </c>
      <c r="F141">
        <v>3711</v>
      </c>
      <c r="G141" s="1">
        <f t="shared" si="4"/>
        <v>-0.10642908740669396</v>
      </c>
      <c r="H141" s="5">
        <v>47394</v>
      </c>
      <c r="I141" s="3">
        <v>45503</v>
      </c>
      <c r="J141" s="2">
        <f t="shared" si="5"/>
        <v>-3.9899565345824367E-2</v>
      </c>
      <c r="K141" s="10">
        <v>5.29</v>
      </c>
      <c r="L141">
        <v>-3.93</v>
      </c>
      <c r="M141" s="3">
        <v>47</v>
      </c>
      <c r="N141" s="5">
        <v>175</v>
      </c>
    </row>
    <row r="142" spans="1:14" x14ac:dyDescent="0.25">
      <c r="A142">
        <v>2020</v>
      </c>
      <c r="B142" t="s">
        <v>17</v>
      </c>
      <c r="C142" t="s">
        <v>20</v>
      </c>
      <c r="D142" t="s">
        <v>25</v>
      </c>
      <c r="E142" s="5">
        <v>4625</v>
      </c>
      <c r="F142">
        <v>4213</v>
      </c>
      <c r="G142" s="1">
        <f t="shared" si="4"/>
        <v>-8.9081081081081079E-2</v>
      </c>
      <c r="H142" s="5">
        <v>51998</v>
      </c>
      <c r="I142" s="3">
        <v>47419</v>
      </c>
      <c r="J142" s="2">
        <f t="shared" si="5"/>
        <v>-8.8061079272279699E-2</v>
      </c>
      <c r="K142" s="10">
        <v>4.0599999999999996</v>
      </c>
      <c r="L142">
        <v>-4.8099999999999996</v>
      </c>
      <c r="M142" s="3">
        <v>291</v>
      </c>
      <c r="N142" s="5">
        <v>49</v>
      </c>
    </row>
    <row r="143" spans="1:14" x14ac:dyDescent="0.25">
      <c r="A143">
        <v>2008</v>
      </c>
      <c r="B143" t="s">
        <v>19</v>
      </c>
      <c r="C143" t="s">
        <v>15</v>
      </c>
      <c r="D143" t="s">
        <v>16</v>
      </c>
      <c r="E143" s="5">
        <v>821</v>
      </c>
      <c r="F143">
        <v>394</v>
      </c>
      <c r="G143" s="1">
        <f t="shared" si="4"/>
        <v>-0.52009744214372711</v>
      </c>
      <c r="H143" s="5">
        <v>64148</v>
      </c>
      <c r="I143" s="3">
        <v>56880</v>
      </c>
      <c r="J143" s="2">
        <f t="shared" si="5"/>
        <v>-0.11330049261083744</v>
      </c>
      <c r="K143" s="10">
        <v>6.54</v>
      </c>
      <c r="L143">
        <v>-2.66</v>
      </c>
      <c r="M143" s="3">
        <v>108</v>
      </c>
      <c r="N143" s="5">
        <v>115</v>
      </c>
    </row>
    <row r="144" spans="1:14" x14ac:dyDescent="0.25">
      <c r="A144">
        <v>2021</v>
      </c>
      <c r="B144" t="s">
        <v>17</v>
      </c>
      <c r="C144" t="s">
        <v>22</v>
      </c>
      <c r="D144" t="s">
        <v>21</v>
      </c>
      <c r="E144" s="5">
        <v>4233</v>
      </c>
      <c r="F144">
        <v>4022</v>
      </c>
      <c r="G144" s="1">
        <f t="shared" si="4"/>
        <v>-4.9846444601937163E-2</v>
      </c>
      <c r="H144" s="5">
        <v>53520</v>
      </c>
      <c r="I144" s="3">
        <v>45637</v>
      </c>
      <c r="J144" s="2">
        <f t="shared" si="5"/>
        <v>-0.14729073243647234</v>
      </c>
      <c r="K144" s="10">
        <v>10.58</v>
      </c>
      <c r="L144">
        <v>-3.01</v>
      </c>
      <c r="M144" s="3">
        <v>39</v>
      </c>
      <c r="N144" s="5">
        <v>163</v>
      </c>
    </row>
    <row r="145" spans="1:14" x14ac:dyDescent="0.25">
      <c r="A145">
        <v>2009</v>
      </c>
      <c r="B145" t="s">
        <v>14</v>
      </c>
      <c r="C145" t="s">
        <v>24</v>
      </c>
      <c r="D145" t="s">
        <v>25</v>
      </c>
      <c r="E145" s="5">
        <v>3852</v>
      </c>
      <c r="F145">
        <v>3513</v>
      </c>
      <c r="G145" s="1">
        <f t="shared" si="4"/>
        <v>-8.8006230529595011E-2</v>
      </c>
      <c r="H145" s="5">
        <v>90776</v>
      </c>
      <c r="I145" s="3">
        <v>89558</v>
      </c>
      <c r="J145" s="2">
        <f t="shared" si="5"/>
        <v>-1.3417643429981493E-2</v>
      </c>
      <c r="K145" s="10">
        <v>9.07</v>
      </c>
      <c r="L145">
        <v>-2.2999999999999998</v>
      </c>
      <c r="M145" s="3">
        <v>283</v>
      </c>
      <c r="N145" s="5">
        <v>50</v>
      </c>
    </row>
    <row r="146" spans="1:14" x14ac:dyDescent="0.25">
      <c r="A146">
        <v>2009</v>
      </c>
      <c r="B146" t="s">
        <v>19</v>
      </c>
      <c r="C146" t="s">
        <v>22</v>
      </c>
      <c r="D146" t="s">
        <v>21</v>
      </c>
      <c r="E146" s="5">
        <v>3150</v>
      </c>
      <c r="F146">
        <v>2971</v>
      </c>
      <c r="G146" s="1">
        <f t="shared" si="4"/>
        <v>-5.6825396825396828E-2</v>
      </c>
      <c r="H146" s="5">
        <v>96640</v>
      </c>
      <c r="I146" s="3">
        <v>94237</v>
      </c>
      <c r="J146" s="2">
        <f t="shared" si="5"/>
        <v>-2.4865480132450331E-2</v>
      </c>
      <c r="K146" s="10">
        <v>10.220000000000001</v>
      </c>
      <c r="L146">
        <v>-3.13</v>
      </c>
      <c r="M146" s="3">
        <v>86</v>
      </c>
      <c r="N146" s="5">
        <v>145</v>
      </c>
    </row>
    <row r="147" spans="1:14" x14ac:dyDescent="0.25">
      <c r="A147">
        <v>2021</v>
      </c>
      <c r="B147" t="s">
        <v>23</v>
      </c>
      <c r="C147" t="s">
        <v>22</v>
      </c>
      <c r="D147" t="s">
        <v>16</v>
      </c>
      <c r="E147" s="5">
        <v>3685</v>
      </c>
      <c r="F147">
        <v>3269</v>
      </c>
      <c r="G147" s="1">
        <f t="shared" si="4"/>
        <v>-0.11289009497964722</v>
      </c>
      <c r="H147" s="5">
        <v>55944</v>
      </c>
      <c r="I147" s="3">
        <v>54899</v>
      </c>
      <c r="J147" s="2">
        <f t="shared" si="5"/>
        <v>-1.8679393679393679E-2</v>
      </c>
      <c r="K147" s="10">
        <v>10.77</v>
      </c>
      <c r="L147">
        <v>-4.57</v>
      </c>
      <c r="M147" s="3">
        <v>29</v>
      </c>
      <c r="N147" s="5">
        <v>179</v>
      </c>
    </row>
    <row r="148" spans="1:14" x14ac:dyDescent="0.25">
      <c r="A148">
        <v>2008</v>
      </c>
      <c r="B148" t="s">
        <v>17</v>
      </c>
      <c r="C148" t="s">
        <v>20</v>
      </c>
      <c r="D148" t="s">
        <v>16</v>
      </c>
      <c r="E148" s="5">
        <v>4864</v>
      </c>
      <c r="F148">
        <v>4412</v>
      </c>
      <c r="G148" s="1">
        <f t="shared" si="4"/>
        <v>-9.2927631578947373E-2</v>
      </c>
      <c r="H148" s="5">
        <v>74822</v>
      </c>
      <c r="I148" s="3">
        <v>68715</v>
      </c>
      <c r="J148" s="2">
        <f t="shared" si="5"/>
        <v>-8.1620379032904755E-2</v>
      </c>
      <c r="K148" s="10">
        <v>11.72</v>
      </c>
      <c r="L148">
        <v>1.94</v>
      </c>
      <c r="M148" s="3">
        <v>83</v>
      </c>
      <c r="N148" s="5">
        <v>123</v>
      </c>
    </row>
    <row r="149" spans="1:14" x14ac:dyDescent="0.25">
      <c r="A149">
        <v>2021</v>
      </c>
      <c r="B149" t="s">
        <v>14</v>
      </c>
      <c r="C149" t="s">
        <v>18</v>
      </c>
      <c r="D149" t="s">
        <v>21</v>
      </c>
      <c r="E149" s="5">
        <v>4428</v>
      </c>
      <c r="F149">
        <v>4372</v>
      </c>
      <c r="G149" s="1">
        <f t="shared" si="4"/>
        <v>-1.2646793134598013E-2</v>
      </c>
      <c r="H149" s="5">
        <v>85648</v>
      </c>
      <c r="I149" s="3">
        <v>80089</v>
      </c>
      <c r="J149" s="2">
        <f t="shared" si="5"/>
        <v>-6.4905193349523632E-2</v>
      </c>
      <c r="K149" s="10">
        <v>6.5</v>
      </c>
      <c r="L149">
        <v>1.39</v>
      </c>
      <c r="M149" s="3">
        <v>300</v>
      </c>
      <c r="N149" s="5">
        <v>8</v>
      </c>
    </row>
    <row r="150" spans="1:14" x14ac:dyDescent="0.25">
      <c r="A150">
        <v>2009</v>
      </c>
      <c r="B150" t="s">
        <v>14</v>
      </c>
      <c r="C150" t="s">
        <v>24</v>
      </c>
      <c r="D150" t="s">
        <v>16</v>
      </c>
      <c r="E150" s="5">
        <v>1722</v>
      </c>
      <c r="F150">
        <v>1541</v>
      </c>
      <c r="G150" s="1">
        <f t="shared" si="4"/>
        <v>-0.10511033681765389</v>
      </c>
      <c r="H150" s="5">
        <v>95940</v>
      </c>
      <c r="I150" s="3">
        <v>90316</v>
      </c>
      <c r="J150" s="2">
        <f t="shared" si="5"/>
        <v>-5.8619970815092765E-2</v>
      </c>
      <c r="K150" s="10">
        <v>4.43</v>
      </c>
      <c r="L150">
        <v>-3.68</v>
      </c>
      <c r="M150" s="3">
        <v>14</v>
      </c>
      <c r="N150" s="5">
        <v>13</v>
      </c>
    </row>
    <row r="151" spans="1:14" x14ac:dyDescent="0.25">
      <c r="A151">
        <v>2020</v>
      </c>
      <c r="B151" t="s">
        <v>17</v>
      </c>
      <c r="C151" t="s">
        <v>22</v>
      </c>
      <c r="D151" t="s">
        <v>25</v>
      </c>
      <c r="E151" s="5">
        <v>2773</v>
      </c>
      <c r="F151">
        <v>2672</v>
      </c>
      <c r="G151" s="1">
        <f t="shared" si="4"/>
        <v>-3.6422646952758743E-2</v>
      </c>
      <c r="H151" s="5">
        <v>43694</v>
      </c>
      <c r="I151" s="3">
        <v>37238</v>
      </c>
      <c r="J151" s="2">
        <f t="shared" si="5"/>
        <v>-0.14775484048153065</v>
      </c>
      <c r="K151" s="10">
        <v>8.2799999999999994</v>
      </c>
      <c r="L151">
        <v>-3.54</v>
      </c>
      <c r="M151" s="3">
        <v>297</v>
      </c>
      <c r="N151" s="5">
        <v>77</v>
      </c>
    </row>
    <row r="152" spans="1:14" x14ac:dyDescent="0.25">
      <c r="A152">
        <v>2020</v>
      </c>
      <c r="B152" t="s">
        <v>17</v>
      </c>
      <c r="C152" t="s">
        <v>15</v>
      </c>
      <c r="D152" t="s">
        <v>21</v>
      </c>
      <c r="E152" s="5">
        <v>3150</v>
      </c>
      <c r="F152">
        <v>2761</v>
      </c>
      <c r="G152" s="1">
        <f t="shared" si="4"/>
        <v>-0.12349206349206349</v>
      </c>
      <c r="H152" s="5">
        <v>92396</v>
      </c>
      <c r="I152" s="3">
        <v>87398</v>
      </c>
      <c r="J152" s="2">
        <f t="shared" si="5"/>
        <v>-5.4093250790077492E-2</v>
      </c>
      <c r="K152" s="10">
        <v>4.96</v>
      </c>
      <c r="L152">
        <v>-0.76</v>
      </c>
      <c r="M152" s="3">
        <v>48</v>
      </c>
      <c r="N152" s="5">
        <v>20</v>
      </c>
    </row>
    <row r="153" spans="1:14" x14ac:dyDescent="0.25">
      <c r="A153">
        <v>2009</v>
      </c>
      <c r="B153" t="s">
        <v>14</v>
      </c>
      <c r="C153" t="s">
        <v>15</v>
      </c>
      <c r="D153" t="s">
        <v>25</v>
      </c>
      <c r="E153" s="5">
        <v>4898</v>
      </c>
      <c r="F153">
        <v>4747</v>
      </c>
      <c r="G153" s="1">
        <f t="shared" si="4"/>
        <v>-3.0828909759085341E-2</v>
      </c>
      <c r="H153" s="5">
        <v>73884</v>
      </c>
      <c r="I153" s="3">
        <v>66094</v>
      </c>
      <c r="J153" s="2">
        <f t="shared" si="5"/>
        <v>-0.10543554761518055</v>
      </c>
      <c r="K153" s="10">
        <v>11.87</v>
      </c>
      <c r="L153">
        <v>-1.1499999999999999</v>
      </c>
      <c r="M153" s="3">
        <v>281</v>
      </c>
      <c r="N153" s="5">
        <v>121</v>
      </c>
    </row>
    <row r="154" spans="1:14" x14ac:dyDescent="0.25">
      <c r="A154">
        <v>2009</v>
      </c>
      <c r="B154" t="s">
        <v>19</v>
      </c>
      <c r="C154" t="s">
        <v>22</v>
      </c>
      <c r="D154" t="s">
        <v>21</v>
      </c>
      <c r="E154" s="5">
        <v>2002</v>
      </c>
      <c r="F154">
        <v>1651</v>
      </c>
      <c r="G154" s="1">
        <f t="shared" si="4"/>
        <v>-0.17532467532467533</v>
      </c>
      <c r="H154" s="5">
        <v>93796</v>
      </c>
      <c r="I154" s="3">
        <v>84839</v>
      </c>
      <c r="J154" s="2">
        <f t="shared" si="5"/>
        <v>-9.5494477376433962E-2</v>
      </c>
      <c r="K154" s="10">
        <v>8.34</v>
      </c>
      <c r="L154">
        <v>-3.78</v>
      </c>
      <c r="M154" s="3">
        <v>225</v>
      </c>
      <c r="N154" s="5">
        <v>94</v>
      </c>
    </row>
    <row r="155" spans="1:14" x14ac:dyDescent="0.25">
      <c r="A155">
        <v>2021</v>
      </c>
      <c r="B155" t="s">
        <v>14</v>
      </c>
      <c r="C155" t="s">
        <v>22</v>
      </c>
      <c r="D155" t="s">
        <v>25</v>
      </c>
      <c r="E155" s="5">
        <v>3594</v>
      </c>
      <c r="F155">
        <v>3394</v>
      </c>
      <c r="G155" s="1">
        <f t="shared" si="4"/>
        <v>-5.5648302726766831E-2</v>
      </c>
      <c r="H155" s="5">
        <v>58489</v>
      </c>
      <c r="I155" s="3">
        <v>48584</v>
      </c>
      <c r="J155" s="2">
        <f t="shared" si="5"/>
        <v>-0.1693480825454359</v>
      </c>
      <c r="K155" s="10">
        <v>11.97</v>
      </c>
      <c r="L155">
        <v>-2.44</v>
      </c>
      <c r="M155" s="3">
        <v>236</v>
      </c>
      <c r="N155" s="5">
        <v>19</v>
      </c>
    </row>
    <row r="156" spans="1:14" x14ac:dyDescent="0.25">
      <c r="A156">
        <v>2008</v>
      </c>
      <c r="B156" t="s">
        <v>14</v>
      </c>
      <c r="C156" t="s">
        <v>15</v>
      </c>
      <c r="D156" t="s">
        <v>21</v>
      </c>
      <c r="E156" s="5">
        <v>4774</v>
      </c>
      <c r="F156">
        <v>4426</v>
      </c>
      <c r="G156" s="1">
        <f t="shared" si="4"/>
        <v>-7.289484708839547E-2</v>
      </c>
      <c r="H156" s="5">
        <v>92478</v>
      </c>
      <c r="I156" s="3">
        <v>90162</v>
      </c>
      <c r="J156" s="2">
        <f t="shared" si="5"/>
        <v>-2.5043794199701552E-2</v>
      </c>
      <c r="K156" s="10">
        <v>4.01</v>
      </c>
      <c r="L156">
        <v>-0.79</v>
      </c>
      <c r="M156" s="3">
        <v>113</v>
      </c>
      <c r="N156" s="5">
        <v>154</v>
      </c>
    </row>
    <row r="157" spans="1:14" x14ac:dyDescent="0.25">
      <c r="A157">
        <v>2008</v>
      </c>
      <c r="B157" t="s">
        <v>17</v>
      </c>
      <c r="C157" t="s">
        <v>15</v>
      </c>
      <c r="D157" t="s">
        <v>25</v>
      </c>
      <c r="E157" s="5">
        <v>3166</v>
      </c>
      <c r="F157">
        <v>2800</v>
      </c>
      <c r="G157" s="1">
        <f t="shared" si="4"/>
        <v>-0.11560328490208464</v>
      </c>
      <c r="H157" s="5">
        <v>63541</v>
      </c>
      <c r="I157" s="3">
        <v>53645</v>
      </c>
      <c r="J157" s="2">
        <f t="shared" si="5"/>
        <v>-0.15574196188287878</v>
      </c>
      <c r="K157" s="10">
        <v>7.7</v>
      </c>
      <c r="L157">
        <v>-3.05</v>
      </c>
      <c r="M157" s="3">
        <v>156</v>
      </c>
      <c r="N157" s="5">
        <v>194</v>
      </c>
    </row>
    <row r="158" spans="1:14" x14ac:dyDescent="0.25">
      <c r="A158">
        <v>2021</v>
      </c>
      <c r="B158" t="s">
        <v>17</v>
      </c>
      <c r="C158" t="s">
        <v>18</v>
      </c>
      <c r="D158" t="s">
        <v>21</v>
      </c>
      <c r="E158" s="5">
        <v>4575</v>
      </c>
      <c r="F158">
        <v>4502</v>
      </c>
      <c r="G158" s="1">
        <f t="shared" si="4"/>
        <v>-1.5956284153005464E-2</v>
      </c>
      <c r="H158" s="5">
        <v>65475</v>
      </c>
      <c r="I158" s="3">
        <v>60714</v>
      </c>
      <c r="J158" s="2">
        <f t="shared" si="5"/>
        <v>-7.27147766323024E-2</v>
      </c>
      <c r="K158" s="10">
        <v>10.6</v>
      </c>
      <c r="L158">
        <v>2.71</v>
      </c>
      <c r="M158" s="3">
        <v>217</v>
      </c>
      <c r="N158" s="5">
        <v>126</v>
      </c>
    </row>
    <row r="159" spans="1:14" x14ac:dyDescent="0.25">
      <c r="A159">
        <v>2021</v>
      </c>
      <c r="B159" t="s">
        <v>14</v>
      </c>
      <c r="C159" t="s">
        <v>24</v>
      </c>
      <c r="D159" t="s">
        <v>21</v>
      </c>
      <c r="E159" s="5">
        <v>2404</v>
      </c>
      <c r="F159">
        <v>2111</v>
      </c>
      <c r="G159" s="1">
        <f t="shared" si="4"/>
        <v>-0.1218801996672213</v>
      </c>
      <c r="H159" s="5">
        <v>71345</v>
      </c>
      <c r="I159" s="3">
        <v>68661</v>
      </c>
      <c r="J159" s="2">
        <f t="shared" si="5"/>
        <v>-3.7620015418039103E-2</v>
      </c>
      <c r="K159" s="10">
        <v>8.14</v>
      </c>
      <c r="L159">
        <v>-1.69</v>
      </c>
      <c r="M159" s="3">
        <v>133</v>
      </c>
      <c r="N159" s="5">
        <v>134</v>
      </c>
    </row>
    <row r="160" spans="1:14" x14ac:dyDescent="0.25">
      <c r="A160">
        <v>2021</v>
      </c>
      <c r="B160" t="s">
        <v>17</v>
      </c>
      <c r="C160" t="s">
        <v>22</v>
      </c>
      <c r="D160" t="s">
        <v>25</v>
      </c>
      <c r="E160" s="5">
        <v>2480</v>
      </c>
      <c r="F160">
        <v>2255</v>
      </c>
      <c r="G160" s="1">
        <f t="shared" si="4"/>
        <v>-9.0725806451612906E-2</v>
      </c>
      <c r="H160" s="5">
        <v>59788</v>
      </c>
      <c r="I160" s="3">
        <v>56736</v>
      </c>
      <c r="J160" s="2">
        <f t="shared" si="5"/>
        <v>-5.1047032849401215E-2</v>
      </c>
      <c r="K160" s="10">
        <v>5.56</v>
      </c>
      <c r="L160">
        <v>-4.66</v>
      </c>
      <c r="M160" s="3">
        <v>211</v>
      </c>
      <c r="N160" s="5">
        <v>195</v>
      </c>
    </row>
    <row r="161" spans="1:14" x14ac:dyDescent="0.25">
      <c r="A161">
        <v>2021</v>
      </c>
      <c r="B161" t="s">
        <v>17</v>
      </c>
      <c r="C161" t="s">
        <v>22</v>
      </c>
      <c r="D161" t="s">
        <v>21</v>
      </c>
      <c r="E161" s="5">
        <v>3411</v>
      </c>
      <c r="F161">
        <v>3107</v>
      </c>
      <c r="G161" s="1">
        <f t="shared" si="4"/>
        <v>-8.9123424215772504E-2</v>
      </c>
      <c r="H161" s="5">
        <v>88646</v>
      </c>
      <c r="I161" s="3">
        <v>86921</v>
      </c>
      <c r="J161" s="2">
        <f t="shared" si="5"/>
        <v>-1.9459422873000475E-2</v>
      </c>
      <c r="K161" s="10">
        <v>10.61</v>
      </c>
      <c r="L161">
        <v>-3.26</v>
      </c>
      <c r="M161" s="3">
        <v>112</v>
      </c>
      <c r="N161" s="5">
        <v>200</v>
      </c>
    </row>
    <row r="162" spans="1:14" x14ac:dyDescent="0.25">
      <c r="A162">
        <v>2020</v>
      </c>
      <c r="B162" t="s">
        <v>19</v>
      </c>
      <c r="C162" t="s">
        <v>20</v>
      </c>
      <c r="D162" t="s">
        <v>16</v>
      </c>
      <c r="E162" s="5">
        <v>3104</v>
      </c>
      <c r="F162">
        <v>2779</v>
      </c>
      <c r="G162" s="1">
        <f t="shared" si="4"/>
        <v>-0.10470360824742268</v>
      </c>
      <c r="H162" s="5">
        <v>30382</v>
      </c>
      <c r="I162" s="3">
        <v>25538</v>
      </c>
      <c r="J162" s="2">
        <f t="shared" si="5"/>
        <v>-0.15943650845895596</v>
      </c>
      <c r="K162" s="10">
        <v>11.56</v>
      </c>
      <c r="L162">
        <v>2.92</v>
      </c>
      <c r="M162" s="3">
        <v>191</v>
      </c>
      <c r="N162" s="5">
        <v>175</v>
      </c>
    </row>
    <row r="163" spans="1:14" x14ac:dyDescent="0.25">
      <c r="A163">
        <v>2021</v>
      </c>
      <c r="B163" t="s">
        <v>17</v>
      </c>
      <c r="C163" t="s">
        <v>22</v>
      </c>
      <c r="D163" t="s">
        <v>21</v>
      </c>
      <c r="E163" s="5">
        <v>929</v>
      </c>
      <c r="F163">
        <v>492</v>
      </c>
      <c r="G163" s="1">
        <f t="shared" si="4"/>
        <v>-0.47039827771797632</v>
      </c>
      <c r="H163" s="5">
        <v>96344</v>
      </c>
      <c r="I163" s="3">
        <v>90939</v>
      </c>
      <c r="J163" s="2">
        <f t="shared" si="5"/>
        <v>-5.6101054554512995E-2</v>
      </c>
      <c r="K163" s="10">
        <v>8.01</v>
      </c>
      <c r="L163">
        <v>-4.5999999999999996</v>
      </c>
      <c r="M163" s="3">
        <v>286</v>
      </c>
      <c r="N163" s="5">
        <v>196</v>
      </c>
    </row>
    <row r="164" spans="1:14" x14ac:dyDescent="0.25">
      <c r="A164">
        <v>2008</v>
      </c>
      <c r="B164" t="s">
        <v>14</v>
      </c>
      <c r="C164" t="s">
        <v>18</v>
      </c>
      <c r="D164" t="s">
        <v>21</v>
      </c>
      <c r="E164" s="5">
        <v>1623</v>
      </c>
      <c r="F164">
        <v>1486</v>
      </c>
      <c r="G164" s="1">
        <f t="shared" si="4"/>
        <v>-8.4411583487369074E-2</v>
      </c>
      <c r="H164" s="5">
        <v>88661</v>
      </c>
      <c r="I164" s="3">
        <v>80390</v>
      </c>
      <c r="J164" s="2">
        <f t="shared" si="5"/>
        <v>-9.3287916896944545E-2</v>
      </c>
      <c r="K164" s="10">
        <v>9.82</v>
      </c>
      <c r="L164">
        <v>-2.78</v>
      </c>
      <c r="M164" s="3">
        <v>259</v>
      </c>
      <c r="N164" s="5">
        <v>193</v>
      </c>
    </row>
    <row r="165" spans="1:14" x14ac:dyDescent="0.25">
      <c r="A165">
        <v>2021</v>
      </c>
      <c r="B165" t="s">
        <v>14</v>
      </c>
      <c r="C165" t="s">
        <v>18</v>
      </c>
      <c r="D165" t="s">
        <v>25</v>
      </c>
      <c r="E165" s="5">
        <v>2517</v>
      </c>
      <c r="F165">
        <v>2383</v>
      </c>
      <c r="G165" s="1">
        <f t="shared" si="4"/>
        <v>-5.3237981724274928E-2</v>
      </c>
      <c r="H165" s="5">
        <v>70262</v>
      </c>
      <c r="I165" s="3">
        <v>63774</v>
      </c>
      <c r="J165" s="2">
        <f t="shared" si="5"/>
        <v>-9.2340098488514419E-2</v>
      </c>
      <c r="K165" s="10">
        <v>6.74</v>
      </c>
      <c r="L165">
        <v>-2.38</v>
      </c>
      <c r="M165" s="3">
        <v>112</v>
      </c>
      <c r="N165" s="5">
        <v>31</v>
      </c>
    </row>
    <row r="166" spans="1:14" x14ac:dyDescent="0.25">
      <c r="A166">
        <v>2009</v>
      </c>
      <c r="B166" t="s">
        <v>14</v>
      </c>
      <c r="C166" t="s">
        <v>20</v>
      </c>
      <c r="D166" t="s">
        <v>16</v>
      </c>
      <c r="E166" s="5">
        <v>4559</v>
      </c>
      <c r="F166">
        <v>4338</v>
      </c>
      <c r="G166" s="1">
        <f t="shared" si="4"/>
        <v>-4.8475542882211009E-2</v>
      </c>
      <c r="H166" s="5">
        <v>42939</v>
      </c>
      <c r="I166" s="3">
        <v>40539</v>
      </c>
      <c r="J166" s="2">
        <f t="shared" si="5"/>
        <v>-5.5893243904143089E-2</v>
      </c>
      <c r="K166" s="10">
        <v>5.41</v>
      </c>
      <c r="L166">
        <v>1.45</v>
      </c>
      <c r="M166" s="3">
        <v>53</v>
      </c>
      <c r="N166" s="5">
        <v>161</v>
      </c>
    </row>
    <row r="167" spans="1:14" x14ac:dyDescent="0.25">
      <c r="A167">
        <v>2008</v>
      </c>
      <c r="B167" t="s">
        <v>14</v>
      </c>
      <c r="C167" t="s">
        <v>18</v>
      </c>
      <c r="D167" t="s">
        <v>16</v>
      </c>
      <c r="E167" s="5">
        <v>904</v>
      </c>
      <c r="F167">
        <v>475</v>
      </c>
      <c r="G167" s="1">
        <f t="shared" si="4"/>
        <v>-0.47455752212389379</v>
      </c>
      <c r="H167" s="5">
        <v>76779</v>
      </c>
      <c r="I167" s="3">
        <v>72133</v>
      </c>
      <c r="J167" s="2">
        <f t="shared" si="5"/>
        <v>-6.0511337735578742E-2</v>
      </c>
      <c r="K167" s="10">
        <v>7.92</v>
      </c>
      <c r="L167">
        <v>-0.03</v>
      </c>
      <c r="M167" s="3">
        <v>174</v>
      </c>
      <c r="N167" s="5">
        <v>142</v>
      </c>
    </row>
    <row r="168" spans="1:14" x14ac:dyDescent="0.25">
      <c r="A168">
        <v>2020</v>
      </c>
      <c r="B168" t="s">
        <v>17</v>
      </c>
      <c r="C168" t="s">
        <v>22</v>
      </c>
      <c r="D168" t="s">
        <v>21</v>
      </c>
      <c r="E168" s="5">
        <v>3312</v>
      </c>
      <c r="F168">
        <v>2826</v>
      </c>
      <c r="G168" s="1">
        <f t="shared" si="4"/>
        <v>-0.14673913043478262</v>
      </c>
      <c r="H168" s="5">
        <v>76950</v>
      </c>
      <c r="I168" s="3">
        <v>69733</v>
      </c>
      <c r="J168" s="2">
        <f t="shared" si="5"/>
        <v>-9.3788174139051328E-2</v>
      </c>
      <c r="K168" s="10">
        <v>7.34</v>
      </c>
      <c r="L168">
        <v>-2.67</v>
      </c>
      <c r="M168" s="3">
        <v>144</v>
      </c>
      <c r="N168" s="5">
        <v>9</v>
      </c>
    </row>
    <row r="169" spans="1:14" x14ac:dyDescent="0.25">
      <c r="A169">
        <v>2021</v>
      </c>
      <c r="B169" t="s">
        <v>19</v>
      </c>
      <c r="C169" t="s">
        <v>24</v>
      </c>
      <c r="D169" t="s">
        <v>25</v>
      </c>
      <c r="E169" s="5">
        <v>3978</v>
      </c>
      <c r="F169">
        <v>3757</v>
      </c>
      <c r="G169" s="1">
        <f t="shared" si="4"/>
        <v>-5.5555555555555552E-2</v>
      </c>
      <c r="H169" s="5">
        <v>83007</v>
      </c>
      <c r="I169" s="3">
        <v>76176</v>
      </c>
      <c r="J169" s="2">
        <f t="shared" si="5"/>
        <v>-8.2294264339152115E-2</v>
      </c>
      <c r="K169" s="10">
        <v>7.05</v>
      </c>
      <c r="L169">
        <v>-2.16</v>
      </c>
      <c r="M169" s="3">
        <v>295</v>
      </c>
      <c r="N169" s="5">
        <v>163</v>
      </c>
    </row>
    <row r="170" spans="1:14" x14ac:dyDescent="0.25">
      <c r="A170">
        <v>2020</v>
      </c>
      <c r="B170" t="s">
        <v>19</v>
      </c>
      <c r="C170" t="s">
        <v>20</v>
      </c>
      <c r="D170" t="s">
        <v>16</v>
      </c>
      <c r="E170" s="5">
        <v>4147</v>
      </c>
      <c r="F170">
        <v>3806</v>
      </c>
      <c r="G170" s="1">
        <f t="shared" si="4"/>
        <v>-8.2228116710875335E-2</v>
      </c>
      <c r="H170" s="5">
        <v>88879</v>
      </c>
      <c r="I170" s="3">
        <v>84361</v>
      </c>
      <c r="J170" s="2">
        <f t="shared" si="5"/>
        <v>-5.0833155188514723E-2</v>
      </c>
      <c r="K170" s="10">
        <v>6.51</v>
      </c>
      <c r="L170">
        <v>2.15</v>
      </c>
      <c r="M170" s="3">
        <v>100</v>
      </c>
      <c r="N170" s="5">
        <v>41</v>
      </c>
    </row>
    <row r="171" spans="1:14" x14ac:dyDescent="0.25">
      <c r="A171">
        <v>2020</v>
      </c>
      <c r="B171" t="s">
        <v>14</v>
      </c>
      <c r="C171" t="s">
        <v>20</v>
      </c>
      <c r="D171" t="s">
        <v>25</v>
      </c>
      <c r="E171" s="5">
        <v>2485</v>
      </c>
      <c r="F171">
        <v>2025</v>
      </c>
      <c r="G171" s="1">
        <f t="shared" si="4"/>
        <v>-0.18511066398390341</v>
      </c>
      <c r="H171" s="5">
        <v>89682</v>
      </c>
      <c r="I171" s="3">
        <v>87687</v>
      </c>
      <c r="J171" s="2">
        <f t="shared" si="5"/>
        <v>-2.2245266608684016E-2</v>
      </c>
      <c r="K171" s="10">
        <v>10.34</v>
      </c>
      <c r="L171">
        <v>2.79</v>
      </c>
      <c r="M171" s="3">
        <v>164</v>
      </c>
      <c r="N171" s="5">
        <v>106</v>
      </c>
    </row>
    <row r="172" spans="1:14" x14ac:dyDescent="0.25">
      <c r="A172">
        <v>2009</v>
      </c>
      <c r="B172" t="s">
        <v>17</v>
      </c>
      <c r="C172" t="s">
        <v>20</v>
      </c>
      <c r="D172" t="s">
        <v>16</v>
      </c>
      <c r="E172" s="5">
        <v>1394</v>
      </c>
      <c r="F172">
        <v>1180</v>
      </c>
      <c r="G172" s="1">
        <f t="shared" si="4"/>
        <v>-0.15351506456241032</v>
      </c>
      <c r="H172" s="5">
        <v>94544</v>
      </c>
      <c r="I172" s="3">
        <v>91586</v>
      </c>
      <c r="J172" s="2">
        <f t="shared" si="5"/>
        <v>-3.128701980030462E-2</v>
      </c>
      <c r="K172" s="10">
        <v>6.62</v>
      </c>
      <c r="L172">
        <v>-2.2400000000000002</v>
      </c>
      <c r="M172" s="3">
        <v>18</v>
      </c>
      <c r="N172" s="5">
        <v>107</v>
      </c>
    </row>
    <row r="173" spans="1:14" x14ac:dyDescent="0.25">
      <c r="A173">
        <v>2008</v>
      </c>
      <c r="B173" t="s">
        <v>19</v>
      </c>
      <c r="C173" t="s">
        <v>18</v>
      </c>
      <c r="D173" t="s">
        <v>21</v>
      </c>
      <c r="E173" s="5">
        <v>3458</v>
      </c>
      <c r="F173">
        <v>2998</v>
      </c>
      <c r="G173" s="1">
        <f t="shared" si="4"/>
        <v>-0.13302486986697512</v>
      </c>
      <c r="H173" s="5">
        <v>31421</v>
      </c>
      <c r="I173" s="3">
        <v>24086</v>
      </c>
      <c r="J173" s="2">
        <f t="shared" si="5"/>
        <v>-0.23344260208141052</v>
      </c>
      <c r="K173" s="10">
        <v>9.6</v>
      </c>
      <c r="L173">
        <v>2.94</v>
      </c>
      <c r="M173" s="3">
        <v>142</v>
      </c>
      <c r="N173" s="5">
        <v>60</v>
      </c>
    </row>
    <row r="174" spans="1:14" x14ac:dyDescent="0.25">
      <c r="A174">
        <v>2008</v>
      </c>
      <c r="B174" t="s">
        <v>23</v>
      </c>
      <c r="C174" t="s">
        <v>22</v>
      </c>
      <c r="D174" t="s">
        <v>21</v>
      </c>
      <c r="E174" s="5">
        <v>4022</v>
      </c>
      <c r="F174">
        <v>3823</v>
      </c>
      <c r="G174" s="1">
        <f t="shared" si="4"/>
        <v>-4.9477871705619098E-2</v>
      </c>
      <c r="H174" s="5">
        <v>44830</v>
      </c>
      <c r="I174" s="3">
        <v>36641</v>
      </c>
      <c r="J174" s="2">
        <f t="shared" si="5"/>
        <v>-0.18266785634619676</v>
      </c>
      <c r="K174" s="10">
        <v>10.3</v>
      </c>
      <c r="L174">
        <v>-1.75</v>
      </c>
      <c r="M174" s="3">
        <v>77</v>
      </c>
      <c r="N174" s="5">
        <v>67</v>
      </c>
    </row>
    <row r="175" spans="1:14" x14ac:dyDescent="0.25">
      <c r="A175">
        <v>2008</v>
      </c>
      <c r="B175" t="s">
        <v>14</v>
      </c>
      <c r="C175" t="s">
        <v>15</v>
      </c>
      <c r="D175" t="s">
        <v>16</v>
      </c>
      <c r="E175" s="5">
        <v>3849</v>
      </c>
      <c r="F175">
        <v>3633</v>
      </c>
      <c r="G175" s="1">
        <f t="shared" si="4"/>
        <v>-5.6118472330475448E-2</v>
      </c>
      <c r="H175" s="5">
        <v>58966</v>
      </c>
      <c r="I175" s="3">
        <v>52797</v>
      </c>
      <c r="J175" s="2">
        <f t="shared" si="5"/>
        <v>-0.10461961130142794</v>
      </c>
      <c r="K175" s="10">
        <v>4.26</v>
      </c>
      <c r="L175">
        <v>-4.28</v>
      </c>
      <c r="M175" s="3">
        <v>288</v>
      </c>
      <c r="N175" s="5">
        <v>177</v>
      </c>
    </row>
    <row r="176" spans="1:14" x14ac:dyDescent="0.25">
      <c r="A176">
        <v>2008</v>
      </c>
      <c r="B176" t="s">
        <v>17</v>
      </c>
      <c r="C176" t="s">
        <v>20</v>
      </c>
      <c r="D176" t="s">
        <v>16</v>
      </c>
      <c r="E176" s="5">
        <v>2442</v>
      </c>
      <c r="F176">
        <v>2112</v>
      </c>
      <c r="G176" s="1">
        <f t="shared" si="4"/>
        <v>-0.13513513513513514</v>
      </c>
      <c r="H176" s="5">
        <v>32381</v>
      </c>
      <c r="I176" s="3">
        <v>25189</v>
      </c>
      <c r="J176" s="2">
        <f t="shared" si="5"/>
        <v>-0.22210555572712393</v>
      </c>
      <c r="K176" s="10">
        <v>7.43</v>
      </c>
      <c r="L176">
        <v>-4.22</v>
      </c>
      <c r="M176" s="3">
        <v>194</v>
      </c>
      <c r="N176" s="5">
        <v>14</v>
      </c>
    </row>
    <row r="177" spans="1:14" x14ac:dyDescent="0.25">
      <c r="A177">
        <v>2021</v>
      </c>
      <c r="B177" t="s">
        <v>17</v>
      </c>
      <c r="C177" t="s">
        <v>18</v>
      </c>
      <c r="D177" t="s">
        <v>21</v>
      </c>
      <c r="E177" s="5">
        <v>2362</v>
      </c>
      <c r="F177">
        <v>2162</v>
      </c>
      <c r="G177" s="1">
        <f t="shared" si="4"/>
        <v>-8.4674005080440304E-2</v>
      </c>
      <c r="H177" s="5">
        <v>62575</v>
      </c>
      <c r="I177" s="3">
        <v>54784</v>
      </c>
      <c r="J177" s="2">
        <f t="shared" si="5"/>
        <v>-0.12450659208949261</v>
      </c>
      <c r="K177" s="10">
        <v>8.73</v>
      </c>
      <c r="L177">
        <v>-1.38</v>
      </c>
      <c r="M177" s="3">
        <v>185</v>
      </c>
      <c r="N177" s="5">
        <v>169</v>
      </c>
    </row>
    <row r="178" spans="1:14" x14ac:dyDescent="0.25">
      <c r="A178">
        <v>2020</v>
      </c>
      <c r="B178" t="s">
        <v>23</v>
      </c>
      <c r="C178" t="s">
        <v>20</v>
      </c>
      <c r="D178" t="s">
        <v>25</v>
      </c>
      <c r="E178" s="5">
        <v>1982</v>
      </c>
      <c r="F178">
        <v>1738</v>
      </c>
      <c r="G178" s="1">
        <f t="shared" si="4"/>
        <v>-0.12310797174571141</v>
      </c>
      <c r="H178" s="5">
        <v>91361</v>
      </c>
      <c r="I178" s="3">
        <v>86276</v>
      </c>
      <c r="J178" s="2">
        <f t="shared" si="5"/>
        <v>-5.5658322478957106E-2</v>
      </c>
      <c r="K178" s="10">
        <v>11.24</v>
      </c>
      <c r="L178">
        <v>2.74</v>
      </c>
      <c r="M178" s="3">
        <v>48</v>
      </c>
      <c r="N178" s="5">
        <v>196</v>
      </c>
    </row>
    <row r="179" spans="1:14" x14ac:dyDescent="0.25">
      <c r="A179">
        <v>2021</v>
      </c>
      <c r="B179" t="s">
        <v>17</v>
      </c>
      <c r="C179" t="s">
        <v>15</v>
      </c>
      <c r="D179" t="s">
        <v>16</v>
      </c>
      <c r="E179" s="5">
        <v>2043</v>
      </c>
      <c r="F179">
        <v>1846</v>
      </c>
      <c r="G179" s="1">
        <f t="shared" si="4"/>
        <v>-9.642682329907E-2</v>
      </c>
      <c r="H179" s="5">
        <v>77410</v>
      </c>
      <c r="I179" s="3">
        <v>69607</v>
      </c>
      <c r="J179" s="2">
        <f t="shared" si="5"/>
        <v>-0.10080093011238858</v>
      </c>
      <c r="K179" s="10">
        <v>5.2</v>
      </c>
      <c r="L179">
        <v>-4.8899999999999997</v>
      </c>
      <c r="M179" s="3">
        <v>216</v>
      </c>
      <c r="N179" s="5">
        <v>18</v>
      </c>
    </row>
    <row r="180" spans="1:14" x14ac:dyDescent="0.25">
      <c r="A180">
        <v>2009</v>
      </c>
      <c r="B180" t="s">
        <v>14</v>
      </c>
      <c r="C180" t="s">
        <v>18</v>
      </c>
      <c r="D180" t="s">
        <v>25</v>
      </c>
      <c r="E180" s="5">
        <v>2143</v>
      </c>
      <c r="F180">
        <v>1843</v>
      </c>
      <c r="G180" s="1">
        <f t="shared" si="4"/>
        <v>-0.1399906672888474</v>
      </c>
      <c r="H180" s="5">
        <v>98409</v>
      </c>
      <c r="I180" s="3">
        <v>92643</v>
      </c>
      <c r="J180" s="2">
        <f t="shared" si="5"/>
        <v>-5.8592201932750054E-2</v>
      </c>
      <c r="K180" s="10">
        <v>9.5500000000000007</v>
      </c>
      <c r="L180">
        <v>2.48</v>
      </c>
      <c r="M180" s="3">
        <v>233</v>
      </c>
      <c r="N180" s="5">
        <v>87</v>
      </c>
    </row>
    <row r="181" spans="1:14" x14ac:dyDescent="0.25">
      <c r="A181">
        <v>2020</v>
      </c>
      <c r="B181" t="s">
        <v>17</v>
      </c>
      <c r="C181" t="s">
        <v>24</v>
      </c>
      <c r="D181" t="s">
        <v>25</v>
      </c>
      <c r="E181" s="5">
        <v>1610</v>
      </c>
      <c r="F181">
        <v>1520</v>
      </c>
      <c r="G181" s="1">
        <f t="shared" si="4"/>
        <v>-5.5900621118012424E-2</v>
      </c>
      <c r="H181" s="5">
        <v>62243</v>
      </c>
      <c r="I181" s="3">
        <v>54715</v>
      </c>
      <c r="J181" s="2">
        <f t="shared" si="5"/>
        <v>-0.12094532718538631</v>
      </c>
      <c r="K181" s="10">
        <v>11.09</v>
      </c>
      <c r="L181">
        <v>2.16</v>
      </c>
      <c r="M181" s="3">
        <v>217</v>
      </c>
      <c r="N181" s="5">
        <v>64</v>
      </c>
    </row>
    <row r="182" spans="1:14" x14ac:dyDescent="0.25">
      <c r="A182">
        <v>2021</v>
      </c>
      <c r="B182" t="s">
        <v>14</v>
      </c>
      <c r="C182" t="s">
        <v>18</v>
      </c>
      <c r="D182" t="s">
        <v>16</v>
      </c>
      <c r="E182" s="5">
        <v>610</v>
      </c>
      <c r="F182">
        <v>135</v>
      </c>
      <c r="G182" s="1">
        <f t="shared" si="4"/>
        <v>-0.77868852459016391</v>
      </c>
      <c r="H182" s="5">
        <v>45598</v>
      </c>
      <c r="I182" s="3">
        <v>38819</v>
      </c>
      <c r="J182" s="2">
        <f t="shared" si="5"/>
        <v>-0.1486688012632133</v>
      </c>
      <c r="K182" s="10">
        <v>6.91</v>
      </c>
      <c r="L182">
        <v>-1.89</v>
      </c>
      <c r="M182" s="3">
        <v>96</v>
      </c>
      <c r="N182" s="5">
        <v>28</v>
      </c>
    </row>
    <row r="183" spans="1:14" x14ac:dyDescent="0.25">
      <c r="A183">
        <v>2008</v>
      </c>
      <c r="B183" t="s">
        <v>23</v>
      </c>
      <c r="C183" t="s">
        <v>20</v>
      </c>
      <c r="D183" t="s">
        <v>25</v>
      </c>
      <c r="E183" s="5">
        <v>2855</v>
      </c>
      <c r="F183">
        <v>2506</v>
      </c>
      <c r="G183" s="1">
        <f t="shared" si="4"/>
        <v>-0.12224168126094571</v>
      </c>
      <c r="H183" s="5">
        <v>55611</v>
      </c>
      <c r="I183" s="3">
        <v>47879</v>
      </c>
      <c r="J183" s="2">
        <f t="shared" si="5"/>
        <v>-0.13903724083364802</v>
      </c>
      <c r="K183" s="10">
        <v>4.2300000000000004</v>
      </c>
      <c r="L183">
        <v>-4.9000000000000004</v>
      </c>
      <c r="M183" s="3">
        <v>51</v>
      </c>
      <c r="N183" s="5">
        <v>112</v>
      </c>
    </row>
    <row r="184" spans="1:14" x14ac:dyDescent="0.25">
      <c r="A184">
        <v>2008</v>
      </c>
      <c r="B184" t="s">
        <v>17</v>
      </c>
      <c r="C184" t="s">
        <v>20</v>
      </c>
      <c r="D184" t="s">
        <v>25</v>
      </c>
      <c r="E184" s="5">
        <v>810</v>
      </c>
      <c r="F184">
        <v>563</v>
      </c>
      <c r="G184" s="1">
        <f t="shared" si="4"/>
        <v>-0.30493827160493825</v>
      </c>
      <c r="H184" s="5">
        <v>74828</v>
      </c>
      <c r="I184" s="3">
        <v>71039</v>
      </c>
      <c r="J184" s="2">
        <f t="shared" si="5"/>
        <v>-5.0636125514513283E-2</v>
      </c>
      <c r="K184" s="10">
        <v>6.64</v>
      </c>
      <c r="L184">
        <v>2.75</v>
      </c>
      <c r="M184" s="3">
        <v>179</v>
      </c>
      <c r="N184" s="5">
        <v>44</v>
      </c>
    </row>
    <row r="185" spans="1:14" x14ac:dyDescent="0.25">
      <c r="A185">
        <v>2008</v>
      </c>
      <c r="B185" t="s">
        <v>23</v>
      </c>
      <c r="C185" t="s">
        <v>24</v>
      </c>
      <c r="D185" t="s">
        <v>21</v>
      </c>
      <c r="E185" s="5">
        <v>3830</v>
      </c>
      <c r="F185">
        <v>3574</v>
      </c>
      <c r="G185" s="1">
        <f t="shared" si="4"/>
        <v>-6.6840731070496082E-2</v>
      </c>
      <c r="H185" s="5">
        <v>54780</v>
      </c>
      <c r="I185" s="3">
        <v>46204</v>
      </c>
      <c r="J185" s="2">
        <f t="shared" si="5"/>
        <v>-0.15655348667396859</v>
      </c>
      <c r="K185" s="10">
        <v>5.26</v>
      </c>
      <c r="L185">
        <v>0.73</v>
      </c>
      <c r="M185" s="3">
        <v>25</v>
      </c>
      <c r="N185" s="5">
        <v>57</v>
      </c>
    </row>
    <row r="186" spans="1:14" x14ac:dyDescent="0.25">
      <c r="A186">
        <v>2020</v>
      </c>
      <c r="B186" t="s">
        <v>14</v>
      </c>
      <c r="C186" t="s">
        <v>15</v>
      </c>
      <c r="D186" t="s">
        <v>16</v>
      </c>
      <c r="E186" s="5">
        <v>2694</v>
      </c>
      <c r="F186">
        <v>2445</v>
      </c>
      <c r="G186" s="1">
        <f t="shared" si="4"/>
        <v>-9.2427616926503336E-2</v>
      </c>
      <c r="H186" s="5">
        <v>77421</v>
      </c>
      <c r="I186" s="3">
        <v>73760</v>
      </c>
      <c r="J186" s="2">
        <f t="shared" si="5"/>
        <v>-4.7286911819790493E-2</v>
      </c>
      <c r="K186" s="10">
        <v>8.69</v>
      </c>
      <c r="L186">
        <v>0.01</v>
      </c>
      <c r="M186" s="3">
        <v>271</v>
      </c>
      <c r="N186" s="5">
        <v>131</v>
      </c>
    </row>
    <row r="187" spans="1:14" x14ac:dyDescent="0.25">
      <c r="A187">
        <v>2021</v>
      </c>
      <c r="B187" t="s">
        <v>19</v>
      </c>
      <c r="C187" t="s">
        <v>20</v>
      </c>
      <c r="D187" t="s">
        <v>16</v>
      </c>
      <c r="E187" s="5">
        <v>4323</v>
      </c>
      <c r="F187">
        <v>3876</v>
      </c>
      <c r="G187" s="1">
        <f t="shared" si="4"/>
        <v>-0.10340041637751561</v>
      </c>
      <c r="H187" s="5">
        <v>64059</v>
      </c>
      <c r="I187" s="3">
        <v>61480</v>
      </c>
      <c r="J187" s="2">
        <f t="shared" si="5"/>
        <v>-4.0259760533258401E-2</v>
      </c>
      <c r="K187" s="10">
        <v>4.8</v>
      </c>
      <c r="L187">
        <v>-0.55000000000000004</v>
      </c>
      <c r="M187" s="3">
        <v>217</v>
      </c>
      <c r="N187" s="5">
        <v>175</v>
      </c>
    </row>
    <row r="188" spans="1:14" x14ac:dyDescent="0.25">
      <c r="A188">
        <v>2009</v>
      </c>
      <c r="B188" t="s">
        <v>19</v>
      </c>
      <c r="C188" t="s">
        <v>18</v>
      </c>
      <c r="D188" t="s">
        <v>25</v>
      </c>
      <c r="E188" s="5">
        <v>1754</v>
      </c>
      <c r="F188">
        <v>1583</v>
      </c>
      <c r="G188" s="1">
        <f t="shared" si="4"/>
        <v>-9.7491448118586094E-2</v>
      </c>
      <c r="H188" s="5">
        <v>98358</v>
      </c>
      <c r="I188" s="3">
        <v>95580</v>
      </c>
      <c r="J188" s="2">
        <f t="shared" si="5"/>
        <v>-2.8243762581589702E-2</v>
      </c>
      <c r="K188" s="10">
        <v>6.04</v>
      </c>
      <c r="L188">
        <v>-0.04</v>
      </c>
      <c r="M188" s="3">
        <v>48</v>
      </c>
      <c r="N188" s="5">
        <v>5</v>
      </c>
    </row>
    <row r="189" spans="1:14" x14ac:dyDescent="0.25">
      <c r="A189">
        <v>2021</v>
      </c>
      <c r="B189" t="s">
        <v>17</v>
      </c>
      <c r="C189" t="s">
        <v>18</v>
      </c>
      <c r="D189" t="s">
        <v>21</v>
      </c>
      <c r="E189" s="5">
        <v>4359</v>
      </c>
      <c r="F189">
        <v>4271</v>
      </c>
      <c r="G189" s="1">
        <f t="shared" si="4"/>
        <v>-2.0188116540490939E-2</v>
      </c>
      <c r="H189" s="5">
        <v>31801</v>
      </c>
      <c r="I189" s="3">
        <v>24218</v>
      </c>
      <c r="J189" s="2">
        <f t="shared" si="5"/>
        <v>-0.23845162101820697</v>
      </c>
      <c r="K189" s="10">
        <v>6.35</v>
      </c>
      <c r="L189">
        <v>0.25</v>
      </c>
      <c r="M189" s="3">
        <v>274</v>
      </c>
      <c r="N189" s="5">
        <v>124</v>
      </c>
    </row>
    <row r="190" spans="1:14" x14ac:dyDescent="0.25">
      <c r="A190">
        <v>2021</v>
      </c>
      <c r="B190" t="s">
        <v>17</v>
      </c>
      <c r="C190" t="s">
        <v>22</v>
      </c>
      <c r="D190" t="s">
        <v>25</v>
      </c>
      <c r="E190" s="5">
        <v>1493</v>
      </c>
      <c r="F190">
        <v>1168</v>
      </c>
      <c r="G190" s="1">
        <f t="shared" si="4"/>
        <v>-0.21768251841929001</v>
      </c>
      <c r="H190" s="5">
        <v>53418</v>
      </c>
      <c r="I190" s="3">
        <v>48132</v>
      </c>
      <c r="J190" s="2">
        <f t="shared" si="5"/>
        <v>-9.8955408289340671E-2</v>
      </c>
      <c r="K190" s="10">
        <v>9.76</v>
      </c>
      <c r="L190">
        <v>0.95</v>
      </c>
      <c r="M190" s="3">
        <v>90</v>
      </c>
      <c r="N190" s="5">
        <v>195</v>
      </c>
    </row>
    <row r="191" spans="1:14" x14ac:dyDescent="0.25">
      <c r="A191">
        <v>2020</v>
      </c>
      <c r="B191" t="s">
        <v>14</v>
      </c>
      <c r="C191" t="s">
        <v>24</v>
      </c>
      <c r="D191" t="s">
        <v>16</v>
      </c>
      <c r="E191" s="5">
        <v>2022</v>
      </c>
      <c r="F191">
        <v>1735</v>
      </c>
      <c r="G191" s="1">
        <f t="shared" si="4"/>
        <v>-0.14193867457962414</v>
      </c>
      <c r="H191" s="5">
        <v>33718</v>
      </c>
      <c r="I191" s="3">
        <v>31873</v>
      </c>
      <c r="J191" s="2">
        <f t="shared" si="5"/>
        <v>-5.4718547956581057E-2</v>
      </c>
      <c r="K191" s="10">
        <v>7.93</v>
      </c>
      <c r="L191">
        <v>2.4700000000000002</v>
      </c>
      <c r="M191" s="3">
        <v>198</v>
      </c>
      <c r="N191" s="5">
        <v>146</v>
      </c>
    </row>
    <row r="192" spans="1:14" x14ac:dyDescent="0.25">
      <c r="A192">
        <v>2021</v>
      </c>
      <c r="B192" t="s">
        <v>14</v>
      </c>
      <c r="C192" t="s">
        <v>22</v>
      </c>
      <c r="D192" t="s">
        <v>16</v>
      </c>
      <c r="E192" s="5">
        <v>2454</v>
      </c>
      <c r="F192">
        <v>2281</v>
      </c>
      <c r="G192" s="1">
        <f t="shared" si="4"/>
        <v>-7.0497147514262434E-2</v>
      </c>
      <c r="H192" s="5">
        <v>78732</v>
      </c>
      <c r="I192" s="3">
        <v>69254</v>
      </c>
      <c r="J192" s="2">
        <f t="shared" si="5"/>
        <v>-0.12038307168622669</v>
      </c>
      <c r="K192" s="10">
        <v>4.3</v>
      </c>
      <c r="L192">
        <v>-2.9</v>
      </c>
      <c r="M192" s="3">
        <v>235</v>
      </c>
      <c r="N192" s="5">
        <v>70</v>
      </c>
    </row>
    <row r="193" spans="1:14" x14ac:dyDescent="0.25">
      <c r="A193">
        <v>2008</v>
      </c>
      <c r="B193" t="s">
        <v>19</v>
      </c>
      <c r="C193" t="s">
        <v>20</v>
      </c>
      <c r="D193" t="s">
        <v>25</v>
      </c>
      <c r="E193" s="5">
        <v>1819</v>
      </c>
      <c r="F193">
        <v>1420</v>
      </c>
      <c r="G193" s="1">
        <f t="shared" si="4"/>
        <v>-0.21935129191863662</v>
      </c>
      <c r="H193" s="5">
        <v>70142</v>
      </c>
      <c r="I193" s="3">
        <v>60838</v>
      </c>
      <c r="J193" s="2">
        <f t="shared" si="5"/>
        <v>-0.13264520544039235</v>
      </c>
      <c r="K193" s="10">
        <v>6.98</v>
      </c>
      <c r="L193">
        <v>-2.63</v>
      </c>
      <c r="M193" s="3">
        <v>20</v>
      </c>
      <c r="N193" s="5">
        <v>9</v>
      </c>
    </row>
    <row r="194" spans="1:14" x14ac:dyDescent="0.25">
      <c r="A194">
        <v>2021</v>
      </c>
      <c r="B194" t="s">
        <v>14</v>
      </c>
      <c r="C194" t="s">
        <v>24</v>
      </c>
      <c r="D194" t="s">
        <v>16</v>
      </c>
      <c r="E194" s="5">
        <v>3186</v>
      </c>
      <c r="F194">
        <v>2706</v>
      </c>
      <c r="G194" s="1">
        <f t="shared" si="4"/>
        <v>-0.15065913370998116</v>
      </c>
      <c r="H194" s="5">
        <v>70914</v>
      </c>
      <c r="I194" s="3">
        <v>64214</v>
      </c>
      <c r="J194" s="2">
        <f t="shared" si="5"/>
        <v>-9.4480638519897339E-2</v>
      </c>
      <c r="K194" s="10">
        <v>11.85</v>
      </c>
      <c r="L194">
        <v>-1.02</v>
      </c>
      <c r="M194" s="3">
        <v>244</v>
      </c>
      <c r="N194" s="5">
        <v>82</v>
      </c>
    </row>
    <row r="195" spans="1:14" x14ac:dyDescent="0.25">
      <c r="A195">
        <v>2020</v>
      </c>
      <c r="B195" t="s">
        <v>17</v>
      </c>
      <c r="C195" t="s">
        <v>22</v>
      </c>
      <c r="D195" t="s">
        <v>16</v>
      </c>
      <c r="E195" s="5">
        <v>3881</v>
      </c>
      <c r="F195">
        <v>3424</v>
      </c>
      <c r="G195" s="1">
        <f t="shared" ref="G195:G201" si="6">(F195-E195)/E195</f>
        <v>-0.11775315640298892</v>
      </c>
      <c r="H195" s="5">
        <v>88156</v>
      </c>
      <c r="I195" s="3">
        <v>79256</v>
      </c>
      <c r="J195" s="2">
        <f t="shared" ref="J195:J201" si="7">(I195-H195)/H195</f>
        <v>-0.10095739371114842</v>
      </c>
      <c r="K195" s="10">
        <v>6.68</v>
      </c>
      <c r="L195">
        <v>2.99</v>
      </c>
      <c r="M195" s="3">
        <v>283</v>
      </c>
      <c r="N195" s="5">
        <v>95</v>
      </c>
    </row>
    <row r="196" spans="1:14" x14ac:dyDescent="0.25">
      <c r="A196">
        <v>2008</v>
      </c>
      <c r="B196" t="s">
        <v>17</v>
      </c>
      <c r="C196" t="s">
        <v>20</v>
      </c>
      <c r="D196" t="s">
        <v>25</v>
      </c>
      <c r="E196" s="5">
        <v>3091</v>
      </c>
      <c r="F196">
        <v>2946</v>
      </c>
      <c r="G196" s="1">
        <f t="shared" si="6"/>
        <v>-4.6910384988676807E-2</v>
      </c>
      <c r="H196" s="5">
        <v>68943</v>
      </c>
      <c r="I196" s="3">
        <v>61970</v>
      </c>
      <c r="J196" s="2">
        <f t="shared" si="7"/>
        <v>-0.10114152270716389</v>
      </c>
      <c r="K196" s="10">
        <v>8.86</v>
      </c>
      <c r="L196">
        <v>-4.9800000000000004</v>
      </c>
      <c r="M196" s="3">
        <v>11</v>
      </c>
      <c r="N196" s="5">
        <v>156</v>
      </c>
    </row>
    <row r="197" spans="1:14" x14ac:dyDescent="0.25">
      <c r="A197">
        <v>2009</v>
      </c>
      <c r="B197" t="s">
        <v>17</v>
      </c>
      <c r="C197" t="s">
        <v>20</v>
      </c>
      <c r="D197" t="s">
        <v>21</v>
      </c>
      <c r="E197" s="5">
        <v>1008</v>
      </c>
      <c r="F197">
        <v>717</v>
      </c>
      <c r="G197" s="1">
        <f t="shared" si="6"/>
        <v>-0.28869047619047616</v>
      </c>
      <c r="H197" s="5">
        <v>83473</v>
      </c>
      <c r="I197" s="3">
        <v>76140</v>
      </c>
      <c r="J197" s="2">
        <f t="shared" si="7"/>
        <v>-8.7848765469073831E-2</v>
      </c>
      <c r="K197" s="10">
        <v>4.5199999999999996</v>
      </c>
      <c r="L197">
        <v>0.93</v>
      </c>
      <c r="M197" s="3">
        <v>35</v>
      </c>
      <c r="N197" s="5">
        <v>151</v>
      </c>
    </row>
    <row r="198" spans="1:14" x14ac:dyDescent="0.25">
      <c r="A198">
        <v>2021</v>
      </c>
      <c r="B198" t="s">
        <v>19</v>
      </c>
      <c r="C198" t="s">
        <v>15</v>
      </c>
      <c r="D198" t="s">
        <v>21</v>
      </c>
      <c r="E198" s="5">
        <v>2384</v>
      </c>
      <c r="F198">
        <v>2293</v>
      </c>
      <c r="G198" s="1">
        <f t="shared" si="6"/>
        <v>-3.8171140939597316E-2</v>
      </c>
      <c r="H198" s="5">
        <v>91601</v>
      </c>
      <c r="I198" s="3">
        <v>88682</v>
      </c>
      <c r="J198" s="2">
        <f t="shared" si="7"/>
        <v>-3.1866464339908952E-2</v>
      </c>
      <c r="K198" s="10">
        <v>5.51</v>
      </c>
      <c r="L198">
        <v>1.1599999999999999</v>
      </c>
      <c r="M198" s="3">
        <v>169</v>
      </c>
      <c r="N198" s="5">
        <v>89</v>
      </c>
    </row>
    <row r="199" spans="1:14" x14ac:dyDescent="0.25">
      <c r="A199">
        <v>2008</v>
      </c>
      <c r="B199" t="s">
        <v>23</v>
      </c>
      <c r="C199" t="s">
        <v>18</v>
      </c>
      <c r="D199" t="s">
        <v>25</v>
      </c>
      <c r="E199" s="5">
        <v>3963</v>
      </c>
      <c r="F199">
        <v>3476</v>
      </c>
      <c r="G199" s="1">
        <f t="shared" si="6"/>
        <v>-0.12288670199343932</v>
      </c>
      <c r="H199" s="5">
        <v>99229</v>
      </c>
      <c r="I199" s="3">
        <v>93850</v>
      </c>
      <c r="J199" s="2">
        <f t="shared" si="7"/>
        <v>-5.4207943242398894E-2</v>
      </c>
      <c r="K199" s="10">
        <v>8.48</v>
      </c>
      <c r="L199">
        <v>-0.09</v>
      </c>
      <c r="M199" s="3">
        <v>163</v>
      </c>
      <c r="N199" s="5">
        <v>173</v>
      </c>
    </row>
    <row r="200" spans="1:14" x14ac:dyDescent="0.25">
      <c r="A200">
        <v>2009</v>
      </c>
      <c r="B200" t="s">
        <v>19</v>
      </c>
      <c r="C200" t="s">
        <v>24</v>
      </c>
      <c r="D200" t="s">
        <v>21</v>
      </c>
      <c r="E200" s="5">
        <v>2778</v>
      </c>
      <c r="F200">
        <v>2413</v>
      </c>
      <c r="G200" s="1">
        <f t="shared" si="6"/>
        <v>-0.13138948884089272</v>
      </c>
      <c r="H200" s="5">
        <v>57543</v>
      </c>
      <c r="I200" s="3">
        <v>52941</v>
      </c>
      <c r="J200" s="2">
        <f t="shared" si="7"/>
        <v>-7.9974975235910531E-2</v>
      </c>
      <c r="K200" s="10">
        <v>5.14</v>
      </c>
      <c r="L200">
        <v>-0.01</v>
      </c>
      <c r="M200" s="3">
        <v>74</v>
      </c>
      <c r="N200" s="5">
        <v>15</v>
      </c>
    </row>
    <row r="201" spans="1:14" x14ac:dyDescent="0.25">
      <c r="A201">
        <v>2020</v>
      </c>
      <c r="B201" t="s">
        <v>23</v>
      </c>
      <c r="C201" t="s">
        <v>18</v>
      </c>
      <c r="D201" t="s">
        <v>25</v>
      </c>
      <c r="E201" s="5">
        <v>3600</v>
      </c>
      <c r="F201">
        <v>3497</v>
      </c>
      <c r="G201" s="1">
        <f t="shared" si="6"/>
        <v>-2.8611111111111111E-2</v>
      </c>
      <c r="H201" s="5">
        <v>74212</v>
      </c>
      <c r="I201" s="3">
        <v>72100</v>
      </c>
      <c r="J201" s="2">
        <f t="shared" si="7"/>
        <v>-2.8459009324637526E-2</v>
      </c>
      <c r="K201" s="10">
        <v>6.74</v>
      </c>
      <c r="L201">
        <v>-4.8499999999999996</v>
      </c>
      <c r="M201" s="3">
        <v>75</v>
      </c>
      <c r="N201" s="5">
        <v>56</v>
      </c>
    </row>
    <row r="202" spans="1:14" x14ac:dyDescent="0.25">
      <c r="E202"/>
      <c r="F202" s="5"/>
      <c r="G202" s="5"/>
      <c r="I202" s="5"/>
      <c r="J202" s="5"/>
      <c r="K202" s="5"/>
      <c r="L202" s="5"/>
      <c r="M202" s="5"/>
      <c r="N202" s="5"/>
    </row>
    <row r="204" spans="1:14" x14ac:dyDescent="0.25">
      <c r="F204" s="1"/>
    </row>
    <row r="205" spans="1:14" x14ac:dyDescent="0.25">
      <c r="F205" s="6"/>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E91B6-4E9E-4906-A197-0346AB7199E3}">
  <dimension ref="A1"/>
  <sheetViews>
    <sheetView showGridLines="0" topLeftCell="A16" zoomScale="46" zoomScaleNormal="46" workbookViewId="0">
      <selection activeCell="AP33" sqref="AP33"/>
    </sheetView>
  </sheetViews>
  <sheetFormatPr defaultRowHeight="15" x14ac:dyDescent="0.25"/>
  <sheetData/>
  <pageMargins left="0.7" right="0.7" top="0.75" bottom="0.75" header="0.3" footer="0.3"/>
  <pageSetup paperSize="9" fitToWidth="0" fitToHeight="0"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AADBA-CE67-4621-9A44-D766EBAFA9F2}">
  <dimension ref="A1"/>
  <sheetViews>
    <sheetView showGridLines="0" showRowColHeaders="0" topLeftCell="A14" zoomScale="46" zoomScaleNormal="46" workbookViewId="0"/>
  </sheetViews>
  <sheetFormatPr defaultRowHeight="15" x14ac:dyDescent="0.25"/>
  <sheetData/>
  <pageMargins left="0.7" right="0.7" top="0.75" bottom="0.75" header="0.3" footer="0.3"/>
  <pageSetup paperSize="9" fitToWidth="0"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0210-52D0-4841-9508-F4FC2C4EC09D}">
  <dimension ref="A1"/>
  <sheetViews>
    <sheetView showGridLines="0" topLeftCell="A19" zoomScale="46" zoomScaleNormal="46" workbookViewId="0"/>
  </sheetViews>
  <sheetFormatPr defaultRowHeight="15" x14ac:dyDescent="0.25"/>
  <sheetData/>
  <pageMargins left="0.7" right="0.7" top="0.75" bottom="0.75" header="0.3" footer="0.3"/>
  <pageSetup paperSize="9" fitToWidth="0"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97DF3-A4B0-45FF-92FC-4C3B1D47B3E7}">
  <dimension ref="A1"/>
  <sheetViews>
    <sheetView showGridLines="0" topLeftCell="A5" zoomScale="46" zoomScaleNormal="46" workbookViewId="0"/>
  </sheetViews>
  <sheetFormatPr defaultRowHeight="15" x14ac:dyDescent="0.25"/>
  <sheetData/>
  <pageMargins left="0.7" right="0.7" top="0.75" bottom="0.75" header="0.3" footer="0.3"/>
  <pageSetup paperSize="9" fitToWidth="0"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790C-8F22-484D-BF79-8DC61D767D97}">
  <dimension ref="A1"/>
  <sheetViews>
    <sheetView showGridLines="0" topLeftCell="A17" zoomScale="46" zoomScaleNormal="46" workbookViewId="0"/>
  </sheetViews>
  <sheetFormatPr defaultRowHeight="15" x14ac:dyDescent="0.25"/>
  <sheetData/>
  <pageMargins left="0.7" right="0.7" top="0.75" bottom="0.75" header="0.3" footer="0.3"/>
  <pageSetup paperSize="9" fitToWidth="0"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68A26-9F38-43BC-A85F-81FCB9033A18}">
  <dimension ref="A1:T92"/>
  <sheetViews>
    <sheetView topLeftCell="A79" workbookViewId="0">
      <selection activeCell="D86" sqref="D86:E89"/>
    </sheetView>
  </sheetViews>
  <sheetFormatPr defaultRowHeight="15" x14ac:dyDescent="0.25"/>
  <cols>
    <col min="1" max="1" width="13.140625" bestFit="1" customWidth="1"/>
    <col min="2" max="2" width="21.7109375" bestFit="1" customWidth="1"/>
    <col min="3" max="3" width="18.140625" bestFit="1" customWidth="1"/>
    <col min="4" max="4" width="14" bestFit="1" customWidth="1"/>
    <col min="5" max="5" width="24.5703125" bestFit="1" customWidth="1"/>
    <col min="6" max="6" width="18.7109375" bestFit="1" customWidth="1"/>
    <col min="7" max="7" width="13.140625" bestFit="1" customWidth="1"/>
    <col min="8" max="8" width="14" bestFit="1" customWidth="1"/>
    <col min="9" max="9" width="18.140625" bestFit="1" customWidth="1"/>
    <col min="11" max="11" width="13.140625" bestFit="1" customWidth="1"/>
    <col min="12" max="12" width="14" bestFit="1" customWidth="1"/>
    <col min="13" max="13" width="18.140625" bestFit="1" customWidth="1"/>
    <col min="14" max="14" width="13.140625" bestFit="1" customWidth="1"/>
    <col min="15" max="15" width="14" bestFit="1" customWidth="1"/>
    <col min="16" max="16" width="25.5703125" bestFit="1" customWidth="1"/>
    <col min="17" max="17" width="23.42578125" bestFit="1" customWidth="1"/>
    <col min="19" max="19" width="13.140625" bestFit="1" customWidth="1"/>
    <col min="20" max="20" width="24.5703125" bestFit="1" customWidth="1"/>
  </cols>
  <sheetData>
    <row r="1" spans="1:20" x14ac:dyDescent="0.25">
      <c r="A1" t="s">
        <v>26</v>
      </c>
      <c r="N1" s="8" t="s">
        <v>28</v>
      </c>
      <c r="O1" t="s">
        <v>26</v>
      </c>
      <c r="S1" s="8" t="s">
        <v>28</v>
      </c>
      <c r="T1" t="s">
        <v>30</v>
      </c>
    </row>
    <row r="2" spans="1:20" x14ac:dyDescent="0.25">
      <c r="A2" s="6">
        <v>28435</v>
      </c>
      <c r="B2" s="6">
        <f>GETPIVOTDATA("Layoffs",$A$1)</f>
        <v>28435</v>
      </c>
      <c r="D2" s="8" t="s">
        <v>28</v>
      </c>
      <c r="E2" t="s">
        <v>30</v>
      </c>
      <c r="G2" s="8" t="s">
        <v>28</v>
      </c>
      <c r="H2" t="s">
        <v>26</v>
      </c>
      <c r="I2" t="s">
        <v>32</v>
      </c>
      <c r="N2" s="9" t="s">
        <v>14</v>
      </c>
      <c r="O2" s="6">
        <v>9475</v>
      </c>
      <c r="S2" s="9" t="s">
        <v>25</v>
      </c>
      <c r="T2" s="10">
        <v>-0.11600802888223091</v>
      </c>
    </row>
    <row r="3" spans="1:20" x14ac:dyDescent="0.25">
      <c r="D3" s="9" t="s">
        <v>22</v>
      </c>
      <c r="E3" s="10">
        <v>-0.1139377146163988</v>
      </c>
      <c r="G3" s="9">
        <v>2008</v>
      </c>
      <c r="H3" s="3">
        <v>5429</v>
      </c>
      <c r="I3" s="5">
        <v>4858</v>
      </c>
      <c r="N3" s="9" t="s">
        <v>17</v>
      </c>
      <c r="O3" s="6">
        <v>8703</v>
      </c>
      <c r="S3" s="9" t="s">
        <v>21</v>
      </c>
      <c r="T3" s="10">
        <v>-0.12657252650669748</v>
      </c>
    </row>
    <row r="4" spans="1:20" x14ac:dyDescent="0.25">
      <c r="D4" s="9" t="s">
        <v>24</v>
      </c>
      <c r="E4" s="10">
        <v>-0.11967006447824285</v>
      </c>
      <c r="G4" s="9">
        <v>2009</v>
      </c>
      <c r="H4" s="3">
        <v>5941</v>
      </c>
      <c r="I4" s="5">
        <v>4246</v>
      </c>
      <c r="N4" s="9" t="s">
        <v>19</v>
      </c>
      <c r="O4" s="6">
        <v>6978</v>
      </c>
      <c r="S4" s="9" t="s">
        <v>16</v>
      </c>
      <c r="T4" s="10">
        <v>-0.16984009040980277</v>
      </c>
    </row>
    <row r="5" spans="1:20" x14ac:dyDescent="0.25">
      <c r="A5" t="s">
        <v>27</v>
      </c>
      <c r="D5" s="9" t="s">
        <v>18</v>
      </c>
      <c r="E5" s="10">
        <v>-0.14948629746524969</v>
      </c>
      <c r="G5" s="9">
        <v>2020</v>
      </c>
      <c r="H5" s="3">
        <v>8594</v>
      </c>
      <c r="I5" s="5">
        <v>4985</v>
      </c>
      <c r="N5" s="9" t="s">
        <v>23</v>
      </c>
      <c r="O5" s="6">
        <v>3279</v>
      </c>
      <c r="S5" s="9" t="s">
        <v>29</v>
      </c>
      <c r="T5" s="10">
        <v>-0.13876316240495989</v>
      </c>
    </row>
    <row r="6" spans="1:20" x14ac:dyDescent="0.25">
      <c r="A6" s="2">
        <v>-9.613346451322298E-2</v>
      </c>
      <c r="B6" s="2">
        <f>GETPIVOTDATA("Salary_Change_%",$A$5)</f>
        <v>-9.613346451322298E-2</v>
      </c>
      <c r="D6" s="9" t="s">
        <v>20</v>
      </c>
      <c r="E6" s="10">
        <v>-0.15578134488508663</v>
      </c>
      <c r="G6" s="9">
        <v>2021</v>
      </c>
      <c r="H6" s="3">
        <v>8471</v>
      </c>
      <c r="I6" s="5">
        <v>5724</v>
      </c>
      <c r="N6" s="9" t="s">
        <v>29</v>
      </c>
      <c r="O6" s="7">
        <v>28435</v>
      </c>
    </row>
    <row r="7" spans="1:20" x14ac:dyDescent="0.25">
      <c r="D7" s="9" t="s">
        <v>15</v>
      </c>
      <c r="E7" s="10">
        <v>-0.16174192913646868</v>
      </c>
      <c r="G7" s="9" t="s">
        <v>29</v>
      </c>
      <c r="H7" s="3">
        <v>28435</v>
      </c>
      <c r="I7" s="5">
        <v>19813</v>
      </c>
    </row>
    <row r="8" spans="1:20" x14ac:dyDescent="0.25">
      <c r="D8" s="9" t="s">
        <v>29</v>
      </c>
      <c r="E8" s="10">
        <v>-0.13876316240495989</v>
      </c>
    </row>
    <row r="9" spans="1:20" x14ac:dyDescent="0.25">
      <c r="A9" s="8" t="s">
        <v>28</v>
      </c>
      <c r="B9" t="s">
        <v>30</v>
      </c>
    </row>
    <row r="10" spans="1:20" x14ac:dyDescent="0.25">
      <c r="A10" s="9" t="s">
        <v>22</v>
      </c>
      <c r="B10" s="10">
        <v>-0.1139377146163988</v>
      </c>
      <c r="C10" t="str">
        <f>INDEX(A10:A14,MATCH(MAX(B10:B14),B10:B14,0))</f>
        <v>IT</v>
      </c>
    </row>
    <row r="11" spans="1:20" x14ac:dyDescent="0.25">
      <c r="A11" s="9" t="s">
        <v>24</v>
      </c>
      <c r="B11" s="10">
        <v>-0.11967006447824285</v>
      </c>
    </row>
    <row r="12" spans="1:20" x14ac:dyDescent="0.25">
      <c r="A12" s="9" t="s">
        <v>18</v>
      </c>
      <c r="B12" s="10">
        <v>-0.14948629746524969</v>
      </c>
    </row>
    <row r="13" spans="1:20" x14ac:dyDescent="0.25">
      <c r="A13" s="9" t="s">
        <v>20</v>
      </c>
      <c r="B13" s="10">
        <v>-0.15578134488508663</v>
      </c>
    </row>
    <row r="14" spans="1:20" x14ac:dyDescent="0.25">
      <c r="A14" s="9" t="s">
        <v>15</v>
      </c>
      <c r="B14" s="10">
        <v>-0.16174192913646868</v>
      </c>
    </row>
    <row r="15" spans="1:20" x14ac:dyDescent="0.25">
      <c r="A15" s="9" t="s">
        <v>29</v>
      </c>
      <c r="B15" s="10">
        <v>-0.13876316240495989</v>
      </c>
    </row>
    <row r="20" spans="1:2" x14ac:dyDescent="0.25">
      <c r="A20" t="s">
        <v>31</v>
      </c>
    </row>
    <row r="21" spans="1:2" x14ac:dyDescent="0.25">
      <c r="A21">
        <v>7.9251999999999976</v>
      </c>
      <c r="B21" s="4">
        <f>GETPIVOTDATA("Unemployment_Rate",$A$20)</f>
        <v>7.9251999999999976</v>
      </c>
    </row>
    <row r="27" spans="1:2" x14ac:dyDescent="0.25">
      <c r="A27" t="s">
        <v>34</v>
      </c>
    </row>
    <row r="30" spans="1:2" x14ac:dyDescent="0.25">
      <c r="A30" s="8" t="s">
        <v>28</v>
      </c>
      <c r="B30" t="s">
        <v>27</v>
      </c>
    </row>
    <row r="31" spans="1:2" x14ac:dyDescent="0.25">
      <c r="A31" s="9" t="s">
        <v>22</v>
      </c>
      <c r="B31" s="2">
        <v>-8.9372333065485837E-2</v>
      </c>
    </row>
    <row r="32" spans="1:2" x14ac:dyDescent="0.25">
      <c r="A32" s="9" t="s">
        <v>20</v>
      </c>
      <c r="B32" s="2">
        <v>-9.3835621323550014E-2</v>
      </c>
    </row>
    <row r="33" spans="1:3" x14ac:dyDescent="0.25">
      <c r="A33" s="9" t="s">
        <v>15</v>
      </c>
      <c r="B33" s="2">
        <v>-9.8710562695086948E-2</v>
      </c>
    </row>
    <row r="34" spans="1:3" x14ac:dyDescent="0.25">
      <c r="A34" s="9" t="s">
        <v>18</v>
      </c>
      <c r="B34" s="2">
        <v>-9.8769346325693605E-2</v>
      </c>
    </row>
    <row r="35" spans="1:3" x14ac:dyDescent="0.25">
      <c r="A35" s="9" t="s">
        <v>24</v>
      </c>
      <c r="B35" s="2">
        <v>-0.10472616211107498</v>
      </c>
    </row>
    <row r="36" spans="1:3" x14ac:dyDescent="0.25">
      <c r="A36" s="9" t="s">
        <v>29</v>
      </c>
      <c r="B36" s="2">
        <v>-9.6133464513222966E-2</v>
      </c>
    </row>
    <row r="40" spans="1:3" x14ac:dyDescent="0.25">
      <c r="A40" t="s">
        <v>33</v>
      </c>
    </row>
    <row r="41" spans="1:3" x14ac:dyDescent="0.25">
      <c r="A41" s="8" t="s">
        <v>28</v>
      </c>
      <c r="B41" t="s">
        <v>26</v>
      </c>
      <c r="C41" t="s">
        <v>32</v>
      </c>
    </row>
    <row r="42" spans="1:3" x14ac:dyDescent="0.25">
      <c r="A42" s="9">
        <v>2008</v>
      </c>
      <c r="B42" s="5">
        <v>5429</v>
      </c>
      <c r="C42" s="5">
        <v>4858</v>
      </c>
    </row>
    <row r="43" spans="1:3" x14ac:dyDescent="0.25">
      <c r="A43" s="9">
        <v>2009</v>
      </c>
      <c r="B43" s="5">
        <v>5941</v>
      </c>
      <c r="C43" s="5">
        <v>4246</v>
      </c>
    </row>
    <row r="44" spans="1:3" x14ac:dyDescent="0.25">
      <c r="A44" s="9">
        <v>2020</v>
      </c>
      <c r="B44" s="5">
        <v>8594</v>
      </c>
      <c r="C44" s="5">
        <v>4985</v>
      </c>
    </row>
    <row r="45" spans="1:3" x14ac:dyDescent="0.25">
      <c r="A45" s="9">
        <v>2021</v>
      </c>
      <c r="B45" s="5">
        <v>8471</v>
      </c>
      <c r="C45" s="5">
        <v>5724</v>
      </c>
    </row>
    <row r="46" spans="1:3" x14ac:dyDescent="0.25">
      <c r="A46" s="9" t="s">
        <v>29</v>
      </c>
      <c r="B46" s="5">
        <v>28435</v>
      </c>
      <c r="C46" s="5">
        <v>19813</v>
      </c>
    </row>
    <row r="50" spans="1:3" x14ac:dyDescent="0.25">
      <c r="A50" s="8" t="s">
        <v>28</v>
      </c>
      <c r="B50" t="s">
        <v>30</v>
      </c>
    </row>
    <row r="51" spans="1:3" x14ac:dyDescent="0.25">
      <c r="A51" s="9">
        <v>2020</v>
      </c>
      <c r="B51" s="10">
        <v>-0.11498707400460266</v>
      </c>
    </row>
    <row r="52" spans="1:3" x14ac:dyDescent="0.25">
      <c r="A52" s="9">
        <v>2008</v>
      </c>
      <c r="B52" s="10">
        <v>-0.14126842819764998</v>
      </c>
      <c r="C52" s="10">
        <f>GETPIVOTDATA("Job_Change_%",$A$50,"Year",2008)</f>
        <v>-0.14126842819764998</v>
      </c>
    </row>
    <row r="53" spans="1:3" x14ac:dyDescent="0.25">
      <c r="A53" s="9">
        <v>2021</v>
      </c>
      <c r="B53" s="10">
        <v>-0.14642813637873453</v>
      </c>
    </row>
    <row r="54" spans="1:3" x14ac:dyDescent="0.25">
      <c r="A54" s="9">
        <v>2009</v>
      </c>
      <c r="B54" s="10">
        <v>-0.15543432352320352</v>
      </c>
    </row>
    <row r="55" spans="1:3" x14ac:dyDescent="0.25">
      <c r="A55" s="9" t="s">
        <v>29</v>
      </c>
      <c r="B55" s="10">
        <v>-0.13876316240495995</v>
      </c>
    </row>
    <row r="58" spans="1:3" x14ac:dyDescent="0.25">
      <c r="A58" t="s">
        <v>37</v>
      </c>
    </row>
    <row r="60" spans="1:3" x14ac:dyDescent="0.25">
      <c r="A60" s="8" t="s">
        <v>28</v>
      </c>
      <c r="B60" t="s">
        <v>35</v>
      </c>
      <c r="C60" t="s">
        <v>36</v>
      </c>
    </row>
    <row r="61" spans="1:3" x14ac:dyDescent="0.25">
      <c r="A61" s="9" t="s">
        <v>20</v>
      </c>
      <c r="B61" s="5">
        <v>103083</v>
      </c>
      <c r="C61">
        <v>91376</v>
      </c>
    </row>
    <row r="62" spans="1:3" x14ac:dyDescent="0.25">
      <c r="A62" s="9" t="s">
        <v>15</v>
      </c>
      <c r="B62" s="5">
        <v>90516</v>
      </c>
      <c r="C62">
        <v>81204</v>
      </c>
    </row>
    <row r="63" spans="1:3" x14ac:dyDescent="0.25">
      <c r="A63" s="9" t="s">
        <v>22</v>
      </c>
      <c r="B63" s="5">
        <v>159865</v>
      </c>
      <c r="C63">
        <v>145209</v>
      </c>
    </row>
    <row r="64" spans="1:3" x14ac:dyDescent="0.25">
      <c r="A64" s="9" t="s">
        <v>24</v>
      </c>
      <c r="B64" s="5">
        <v>97657</v>
      </c>
      <c r="C64">
        <v>88910</v>
      </c>
    </row>
    <row r="65" spans="1:3" x14ac:dyDescent="0.25">
      <c r="A65" s="9" t="s">
        <v>18</v>
      </c>
      <c r="B65" s="5">
        <v>106011</v>
      </c>
      <c r="C65">
        <v>96628</v>
      </c>
    </row>
    <row r="66" spans="1:3" x14ac:dyDescent="0.25">
      <c r="A66" s="9" t="s">
        <v>29</v>
      </c>
      <c r="B66" s="5">
        <v>557132</v>
      </c>
      <c r="C66">
        <v>503327</v>
      </c>
    </row>
    <row r="77" spans="1:3" x14ac:dyDescent="0.25">
      <c r="A77" s="8" t="s">
        <v>28</v>
      </c>
      <c r="B77" t="s">
        <v>27</v>
      </c>
    </row>
    <row r="78" spans="1:3" x14ac:dyDescent="0.25">
      <c r="A78" s="9" t="s">
        <v>22</v>
      </c>
      <c r="B78" s="2">
        <v>-8.9372333065485837E-2</v>
      </c>
    </row>
    <row r="79" spans="1:3" x14ac:dyDescent="0.25">
      <c r="A79" s="9" t="s">
        <v>20</v>
      </c>
      <c r="B79" s="2">
        <v>-9.3835621323550014E-2</v>
      </c>
    </row>
    <row r="80" spans="1:3" x14ac:dyDescent="0.25">
      <c r="A80" s="9" t="s">
        <v>15</v>
      </c>
      <c r="B80" s="2">
        <v>-9.8710562695086948E-2</v>
      </c>
    </row>
    <row r="81" spans="1:3" x14ac:dyDescent="0.25">
      <c r="A81" s="9" t="s">
        <v>18</v>
      </c>
      <c r="B81" s="2">
        <v>-9.8769346325693605E-2</v>
      </c>
    </row>
    <row r="82" spans="1:3" x14ac:dyDescent="0.25">
      <c r="A82" s="9" t="s">
        <v>24</v>
      </c>
      <c r="B82" s="2">
        <v>-0.10472616211107498</v>
      </c>
    </row>
    <row r="83" spans="1:3" x14ac:dyDescent="0.25">
      <c r="A83" s="9" t="s">
        <v>29</v>
      </c>
      <c r="B83" s="2">
        <v>-9.6133464513222966E-2</v>
      </c>
    </row>
    <row r="87" spans="1:3" x14ac:dyDescent="0.25">
      <c r="A87" s="8" t="s">
        <v>28</v>
      </c>
      <c r="B87" t="s">
        <v>38</v>
      </c>
    </row>
    <row r="88" spans="1:3" x14ac:dyDescent="0.25">
      <c r="A88" s="9">
        <v>2008</v>
      </c>
      <c r="B88" s="5">
        <v>110.40909090909091</v>
      </c>
    </row>
    <row r="89" spans="1:3" x14ac:dyDescent="0.25">
      <c r="A89" s="9">
        <v>2009</v>
      </c>
      <c r="B89" s="5">
        <v>90.340425531914889</v>
      </c>
    </row>
    <row r="90" spans="1:3" x14ac:dyDescent="0.25">
      <c r="A90" s="9">
        <v>2020</v>
      </c>
      <c r="B90" s="5">
        <v>90.63636363636364</v>
      </c>
    </row>
    <row r="91" spans="1:3" x14ac:dyDescent="0.25">
      <c r="A91" s="9">
        <v>2021</v>
      </c>
      <c r="B91" s="5">
        <v>106</v>
      </c>
    </row>
    <row r="92" spans="1:3" x14ac:dyDescent="0.25">
      <c r="A92" s="9" t="s">
        <v>29</v>
      </c>
      <c r="B92" s="5">
        <v>99.064999999999998</v>
      </c>
      <c r="C92" s="5">
        <f>GETPIVOTDATA("Hiring_Rate",$A$87)</f>
        <v>99.064999999999998</v>
      </c>
    </row>
  </sheetData>
  <pageMargins left="0.7" right="0.7" top="0.75" bottom="0.75" header="0.3" footer="0.3"/>
  <drawing r:id="rId1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37A4-63C3-403C-A1D3-BDA37D6A59AD}">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Recession Jobs Data</vt:lpstr>
      <vt:lpstr>Dashboard</vt:lpstr>
      <vt:lpstr>Industry Dashboard</vt:lpstr>
      <vt:lpstr>Trends_dashboard</vt:lpstr>
      <vt:lpstr>Workforce_dashboard</vt:lpstr>
      <vt:lpstr>About</vt:lpstr>
      <vt:lpstr>pivot_tabels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SOUMITH CHINNA</cp:lastModifiedBy>
  <dcterms:created xsi:type="dcterms:W3CDTF">2026-03-31T18:35:20Z</dcterms:created>
  <dcterms:modified xsi:type="dcterms:W3CDTF">2026-04-13T08:17:17Z</dcterms:modified>
</cp:coreProperties>
</file>