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i\OneDrive\Desktop\"/>
    </mc:Choice>
  </mc:AlternateContent>
  <xr:revisionPtr revIDLastSave="0" documentId="8_{47EDA1FF-5A2A-40AA-B329-B01D478E009B}" xr6:coauthVersionLast="47" xr6:coauthVersionMax="47" xr10:uidLastSave="{00000000-0000-0000-0000-000000000000}"/>
  <bookViews>
    <workbookView xWindow="-120" yWindow="-120" windowWidth="20730" windowHeight="11040" xr2:uid="{0E25BA20-F9B3-4D68-BDB7-BFA3C3C24B7B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1" i="1" l="1"/>
  <c r="G201" i="1"/>
  <c r="J200" i="1"/>
  <c r="G200" i="1"/>
  <c r="J199" i="1"/>
  <c r="G199" i="1"/>
  <c r="J198" i="1"/>
  <c r="G198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81" i="1"/>
  <c r="G181" i="1"/>
  <c r="J180" i="1"/>
  <c r="G180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3" i="1"/>
  <c r="G163" i="1"/>
  <c r="J162" i="1"/>
  <c r="G162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5" i="1"/>
  <c r="G145" i="1"/>
  <c r="J144" i="1"/>
  <c r="G144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7" i="1"/>
  <c r="G127" i="1"/>
  <c r="J126" i="1"/>
  <c r="G126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90" i="1"/>
  <c r="G90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  <c r="J2" i="1"/>
  <c r="G2" i="1"/>
</calcChain>
</file>

<file path=xl/sharedStrings.xml><?xml version="1.0" encoding="utf-8"?>
<sst xmlns="http://schemas.openxmlformats.org/spreadsheetml/2006/main" count="614" uniqueCount="26">
  <si>
    <t>Year</t>
  </si>
  <si>
    <t>Country</t>
  </si>
  <si>
    <t>Industry</t>
  </si>
  <si>
    <t>Company_Size</t>
  </si>
  <si>
    <t>Before_Jobs</t>
  </si>
  <si>
    <t>After_Jobs</t>
  </si>
  <si>
    <t>Job_Change_%</t>
  </si>
  <si>
    <t>Before_Salary</t>
  </si>
  <si>
    <t>After_Salary</t>
  </si>
  <si>
    <t>Salary_Change_%</t>
  </si>
  <si>
    <t>Unemployment_Rate</t>
  </si>
  <si>
    <t>GDP_Growth</t>
  </si>
  <si>
    <t>Layoffs</t>
  </si>
  <si>
    <t>Hiring_Rate</t>
  </si>
  <si>
    <t>USA</t>
  </si>
  <si>
    <t>Healthcare</t>
  </si>
  <si>
    <t>Large</t>
  </si>
  <si>
    <t>UK</t>
  </si>
  <si>
    <t>Retail</t>
  </si>
  <si>
    <t>Germany</t>
  </si>
  <si>
    <t>Finance</t>
  </si>
  <si>
    <t>Small</t>
  </si>
  <si>
    <t>IT</t>
  </si>
  <si>
    <t>India</t>
  </si>
  <si>
    <t>Manufacturing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</si>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</sst>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3" fontId="0" fillId="0" borderId="0" xfId="0" applyNumberFormat="1"/>
    <xf numFmtId="0" fontId="2" fillId="2" borderId="0" xfId="0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2" fontId="2" fillId="2" borderId="1" xfId="0" applyNumberFormat="1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1" fontId="0" fillId="3" borderId="3" xfId="0" applyNumberFormat="1" applyFont="1" applyFill="1" applyBorder="1"/>
    <xf numFmtId="9" fontId="0" fillId="3" borderId="3" xfId="1" applyNumberFormat="1" applyFont="1" applyFill="1" applyBorder="1"/>
    <xf numFmtId="2" fontId="0" fillId="3" borderId="3" xfId="0" applyNumberFormat="1" applyFont="1" applyFill="1" applyBorder="1"/>
    <xf numFmtId="10" fontId="0" fillId="3" borderId="3" xfId="0" applyNumberFormat="1" applyFont="1" applyFill="1" applyBorder="1"/>
    <xf numFmtId="9" fontId="0" fillId="3" borderId="3" xfId="0" applyNumberFormat="1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1" fontId="0" fillId="4" borderId="5" xfId="0" applyNumberFormat="1" applyFont="1" applyFill="1" applyBorder="1"/>
    <xf numFmtId="9" fontId="0" fillId="4" borderId="5" xfId="1" applyNumberFormat="1" applyFont="1" applyFill="1" applyBorder="1"/>
    <xf numFmtId="2" fontId="0" fillId="4" borderId="5" xfId="0" applyNumberFormat="1" applyFont="1" applyFill="1" applyBorder="1"/>
    <xf numFmtId="10" fontId="0" fillId="4" borderId="5" xfId="0" applyNumberFormat="1" applyFont="1" applyFill="1" applyBorder="1"/>
    <xf numFmtId="9" fontId="0" fillId="4" borderId="5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" fontId="0" fillId="3" borderId="5" xfId="0" applyNumberFormat="1" applyFont="1" applyFill="1" applyBorder="1"/>
    <xf numFmtId="9" fontId="0" fillId="3" borderId="5" xfId="1" applyNumberFormat="1" applyFont="1" applyFill="1" applyBorder="1"/>
    <xf numFmtId="2" fontId="0" fillId="3" borderId="5" xfId="0" applyNumberFormat="1" applyFont="1" applyFill="1" applyBorder="1"/>
    <xf numFmtId="10" fontId="0" fillId="3" borderId="5" xfId="0" applyNumberFormat="1" applyFont="1" applyFill="1" applyBorder="1"/>
    <xf numFmtId="9" fontId="0" fillId="3" borderId="5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24AC-87AD-4D27-B159-C52F5BCD78E0}">
  <dimension ref="A1:N205"/>
  <sheetViews>
    <sheetView tabSelected="1" workbookViewId="0">
      <selection activeCell="E7" sqref="E7"/>
    </sheetView>
  </sheetViews>
  <sheetFormatPr defaultRowHeight="15" x14ac:dyDescent="0.25"/>
  <cols>
    <col min="1" max="1" width="7.140625" customWidth="1"/>
    <col min="2" max="2" width="10.140625" customWidth="1"/>
    <col min="3" max="3" width="14" bestFit="1" customWidth="1"/>
    <col min="4" max="4" width="16" customWidth="1"/>
    <col min="5" max="5" width="14" style="1" customWidth="1"/>
    <col min="6" max="6" width="12.5703125" customWidth="1"/>
    <col min="7" max="7" width="16.28515625" customWidth="1"/>
    <col min="8" max="8" width="15.42578125" style="1" customWidth="1"/>
    <col min="9" max="9" width="14" style="2" customWidth="1"/>
    <col min="10" max="10" width="18.5703125" customWidth="1"/>
    <col min="11" max="11" width="22.140625" customWidth="1"/>
    <col min="12" max="12" width="14.7109375" customWidth="1"/>
    <col min="13" max="13" width="9.42578125" style="2" customWidth="1"/>
    <col min="14" max="14" width="13.42578125" customWidth="1"/>
  </cols>
  <sheetData>
    <row r="1" spans="1:14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6" t="s">
        <v>13</v>
      </c>
    </row>
    <row r="2" spans="1:14" ht="15.75" thickTop="1" x14ac:dyDescent="0.25">
      <c r="A2" s="9">
        <v>2020</v>
      </c>
      <c r="B2" s="10" t="s">
        <v>14</v>
      </c>
      <c r="C2" s="10" t="s">
        <v>15</v>
      </c>
      <c r="D2" s="10" t="s">
        <v>16</v>
      </c>
      <c r="E2" s="11">
        <v>885</v>
      </c>
      <c r="F2" s="10">
        <v>568</v>
      </c>
      <c r="G2" s="12">
        <f>(F2-E2)/E2</f>
        <v>-0.35819209039548022</v>
      </c>
      <c r="H2" s="11">
        <v>57471</v>
      </c>
      <c r="I2" s="13">
        <v>48840</v>
      </c>
      <c r="J2" s="14">
        <f>(I2-H2)/H2</f>
        <v>-0.15018009082841782</v>
      </c>
      <c r="K2" s="15">
        <v>7.15</v>
      </c>
      <c r="L2" s="10">
        <v>-0.31</v>
      </c>
      <c r="M2" s="13">
        <v>197</v>
      </c>
      <c r="N2" s="11">
        <v>61</v>
      </c>
    </row>
    <row r="3" spans="1:14" x14ac:dyDescent="0.25">
      <c r="A3" s="16">
        <v>2009</v>
      </c>
      <c r="B3" s="17" t="s">
        <v>17</v>
      </c>
      <c r="C3" s="17" t="s">
        <v>18</v>
      </c>
      <c r="D3" s="17" t="s">
        <v>16</v>
      </c>
      <c r="E3" s="18">
        <v>4223</v>
      </c>
      <c r="F3" s="17">
        <v>3905</v>
      </c>
      <c r="G3" s="19">
        <f t="shared" ref="G3:G66" si="0">(F3-E3)/E3</f>
        <v>-7.5301918067724363E-2</v>
      </c>
      <c r="H3" s="18">
        <v>87879</v>
      </c>
      <c r="I3" s="20">
        <v>80506</v>
      </c>
      <c r="J3" s="21">
        <f t="shared" ref="J3:J66" si="1">(I3-H3)/H3</f>
        <v>-8.3899452656493581E-2</v>
      </c>
      <c r="K3" s="22">
        <v>7.79</v>
      </c>
      <c r="L3" s="17">
        <v>0.53</v>
      </c>
      <c r="M3" s="20">
        <v>41</v>
      </c>
      <c r="N3" s="18">
        <v>62</v>
      </c>
    </row>
    <row r="4" spans="1:14" x14ac:dyDescent="0.25">
      <c r="A4" s="23">
        <v>2008</v>
      </c>
      <c r="B4" s="24" t="s">
        <v>19</v>
      </c>
      <c r="C4" s="24" t="s">
        <v>20</v>
      </c>
      <c r="D4" s="24" t="s">
        <v>21</v>
      </c>
      <c r="E4" s="25">
        <v>1702</v>
      </c>
      <c r="F4" s="24">
        <v>1393</v>
      </c>
      <c r="G4" s="26">
        <f t="shared" si="0"/>
        <v>-0.18155111633372503</v>
      </c>
      <c r="H4" s="25">
        <v>78973</v>
      </c>
      <c r="I4" s="27">
        <v>72752</v>
      </c>
      <c r="J4" s="28">
        <f t="shared" si="1"/>
        <v>-7.8773758119863757E-2</v>
      </c>
      <c r="K4" s="29">
        <v>11.41</v>
      </c>
      <c r="L4" s="24">
        <v>-1.32</v>
      </c>
      <c r="M4" s="27">
        <v>172</v>
      </c>
      <c r="N4" s="25">
        <v>100</v>
      </c>
    </row>
    <row r="5" spans="1:14" x14ac:dyDescent="0.25">
      <c r="A5" s="16">
        <v>2021</v>
      </c>
      <c r="B5" s="17" t="s">
        <v>14</v>
      </c>
      <c r="C5" s="17" t="s">
        <v>18</v>
      </c>
      <c r="D5" s="17" t="s">
        <v>21</v>
      </c>
      <c r="E5" s="18">
        <v>3721</v>
      </c>
      <c r="F5" s="17">
        <v>3671</v>
      </c>
      <c r="G5" s="19">
        <f t="shared" si="0"/>
        <v>-1.3437248051599033E-2</v>
      </c>
      <c r="H5" s="18">
        <v>59999</v>
      </c>
      <c r="I5" s="20">
        <v>55405</v>
      </c>
      <c r="J5" s="21">
        <f t="shared" si="1"/>
        <v>-7.6567942799046648E-2</v>
      </c>
      <c r="K5" s="22">
        <v>9.08</v>
      </c>
      <c r="L5" s="17">
        <v>0.81</v>
      </c>
      <c r="M5" s="20">
        <v>147</v>
      </c>
      <c r="N5" s="18">
        <v>174</v>
      </c>
    </row>
    <row r="6" spans="1:14" x14ac:dyDescent="0.25">
      <c r="A6" s="23">
        <v>2020</v>
      </c>
      <c r="B6" s="24" t="s">
        <v>19</v>
      </c>
      <c r="C6" s="24" t="s">
        <v>22</v>
      </c>
      <c r="D6" s="24" t="s">
        <v>16</v>
      </c>
      <c r="E6" s="25">
        <v>2455</v>
      </c>
      <c r="F6" s="24">
        <v>2088</v>
      </c>
      <c r="G6" s="26">
        <f t="shared" si="0"/>
        <v>-0.14949083503054988</v>
      </c>
      <c r="H6" s="25">
        <v>40127</v>
      </c>
      <c r="I6" s="27">
        <v>33630</v>
      </c>
      <c r="J6" s="28">
        <f t="shared" si="1"/>
        <v>-0.16191093278839683</v>
      </c>
      <c r="K6" s="29">
        <v>10.42</v>
      </c>
      <c r="L6" s="24">
        <v>2.0099999999999998</v>
      </c>
      <c r="M6" s="27">
        <v>37</v>
      </c>
      <c r="N6" s="25">
        <v>74</v>
      </c>
    </row>
    <row r="7" spans="1:14" x14ac:dyDescent="0.25">
      <c r="A7" s="16">
        <v>2020</v>
      </c>
      <c r="B7" s="17" t="s">
        <v>23</v>
      </c>
      <c r="C7" s="17" t="s">
        <v>18</v>
      </c>
      <c r="D7" s="17" t="s">
        <v>16</v>
      </c>
      <c r="E7" s="18">
        <v>4625</v>
      </c>
      <c r="F7" s="17">
        <v>4339</v>
      </c>
      <c r="G7" s="19">
        <f t="shared" si="0"/>
        <v>-6.183783783783784E-2</v>
      </c>
      <c r="H7" s="18">
        <v>85627</v>
      </c>
      <c r="I7" s="20">
        <v>77735</v>
      </c>
      <c r="J7" s="21">
        <f t="shared" si="1"/>
        <v>-9.2167190255410092E-2</v>
      </c>
      <c r="K7" s="22">
        <v>6.56</v>
      </c>
      <c r="L7" s="17">
        <v>-2.8</v>
      </c>
      <c r="M7" s="20">
        <v>179</v>
      </c>
      <c r="N7" s="18">
        <v>76</v>
      </c>
    </row>
    <row r="8" spans="1:14" x14ac:dyDescent="0.25">
      <c r="A8" s="23">
        <v>2008</v>
      </c>
      <c r="B8" s="24" t="s">
        <v>17</v>
      </c>
      <c r="C8" s="24" t="s">
        <v>18</v>
      </c>
      <c r="D8" s="24" t="s">
        <v>16</v>
      </c>
      <c r="E8" s="25">
        <v>1610</v>
      </c>
      <c r="F8" s="24">
        <v>1221</v>
      </c>
      <c r="G8" s="26">
        <f t="shared" si="0"/>
        <v>-0.24161490683229814</v>
      </c>
      <c r="H8" s="25">
        <v>90521</v>
      </c>
      <c r="I8" s="27">
        <v>80906</v>
      </c>
      <c r="J8" s="28">
        <f t="shared" si="1"/>
        <v>-0.10621844654831475</v>
      </c>
      <c r="K8" s="29">
        <v>9.57</v>
      </c>
      <c r="L8" s="24">
        <v>-2.92</v>
      </c>
      <c r="M8" s="27">
        <v>50</v>
      </c>
      <c r="N8" s="25">
        <v>136</v>
      </c>
    </row>
    <row r="9" spans="1:14" x14ac:dyDescent="0.25">
      <c r="A9" s="16">
        <v>2021</v>
      </c>
      <c r="B9" s="17" t="s">
        <v>17</v>
      </c>
      <c r="C9" s="17" t="s">
        <v>24</v>
      </c>
      <c r="D9" s="17" t="s">
        <v>21</v>
      </c>
      <c r="E9" s="18">
        <v>4898</v>
      </c>
      <c r="F9" s="17">
        <v>4418</v>
      </c>
      <c r="G9" s="19">
        <f t="shared" si="0"/>
        <v>-9.7999183340138837E-2</v>
      </c>
      <c r="H9" s="18">
        <v>60180</v>
      </c>
      <c r="I9" s="20">
        <v>52831</v>
      </c>
      <c r="J9" s="21">
        <f t="shared" si="1"/>
        <v>-0.12211698238617481</v>
      </c>
      <c r="K9" s="22">
        <v>5.33</v>
      </c>
      <c r="L9" s="17">
        <v>1.56</v>
      </c>
      <c r="M9" s="20">
        <v>271</v>
      </c>
      <c r="N9" s="18">
        <v>14</v>
      </c>
    </row>
    <row r="10" spans="1:14" x14ac:dyDescent="0.25">
      <c r="A10" s="23">
        <v>2020</v>
      </c>
      <c r="B10" s="24" t="s">
        <v>14</v>
      </c>
      <c r="C10" s="24" t="s">
        <v>22</v>
      </c>
      <c r="D10" s="24" t="s">
        <v>21</v>
      </c>
      <c r="E10" s="25">
        <v>3260</v>
      </c>
      <c r="F10" s="24">
        <v>2763</v>
      </c>
      <c r="G10" s="26">
        <f t="shared" si="0"/>
        <v>-0.15245398773006136</v>
      </c>
      <c r="H10" s="25">
        <v>89556</v>
      </c>
      <c r="I10" s="27">
        <v>87513</v>
      </c>
      <c r="J10" s="28">
        <f t="shared" si="1"/>
        <v>-2.2812541873241325E-2</v>
      </c>
      <c r="K10" s="29">
        <v>4.5599999999999996</v>
      </c>
      <c r="L10" s="24">
        <v>-1.83</v>
      </c>
      <c r="M10" s="27">
        <v>135</v>
      </c>
      <c r="N10" s="25">
        <v>71</v>
      </c>
    </row>
    <row r="11" spans="1:14" x14ac:dyDescent="0.25">
      <c r="A11" s="16">
        <v>2021</v>
      </c>
      <c r="B11" s="17" t="s">
        <v>14</v>
      </c>
      <c r="C11" s="17" t="s">
        <v>22</v>
      </c>
      <c r="D11" s="17" t="s">
        <v>25</v>
      </c>
      <c r="E11" s="18">
        <v>4829</v>
      </c>
      <c r="F11" s="17">
        <v>4479</v>
      </c>
      <c r="G11" s="19">
        <f t="shared" si="0"/>
        <v>-7.2478774073307106E-2</v>
      </c>
      <c r="H11" s="18">
        <v>50453</v>
      </c>
      <c r="I11" s="20">
        <v>48612</v>
      </c>
      <c r="J11" s="21">
        <f t="shared" si="1"/>
        <v>-3.6489405981804848E-2</v>
      </c>
      <c r="K11" s="22">
        <v>8.5500000000000007</v>
      </c>
      <c r="L11" s="17">
        <v>2.5299999999999998</v>
      </c>
      <c r="M11" s="20">
        <v>52</v>
      </c>
      <c r="N11" s="18">
        <v>127</v>
      </c>
    </row>
    <row r="12" spans="1:14" x14ac:dyDescent="0.25">
      <c r="A12" s="23">
        <v>2021</v>
      </c>
      <c r="B12" s="24" t="s">
        <v>14</v>
      </c>
      <c r="C12" s="24" t="s">
        <v>15</v>
      </c>
      <c r="D12" s="24" t="s">
        <v>25</v>
      </c>
      <c r="E12" s="25">
        <v>2230</v>
      </c>
      <c r="F12" s="24">
        <v>1870</v>
      </c>
      <c r="G12" s="26">
        <f t="shared" si="0"/>
        <v>-0.16143497757847533</v>
      </c>
      <c r="H12" s="25">
        <v>75007</v>
      </c>
      <c r="I12" s="27">
        <v>66757</v>
      </c>
      <c r="J12" s="28">
        <f t="shared" si="1"/>
        <v>-0.10998973429146613</v>
      </c>
      <c r="K12" s="29">
        <v>10.24</v>
      </c>
      <c r="L12" s="24">
        <v>2.35</v>
      </c>
      <c r="M12" s="27">
        <v>97</v>
      </c>
      <c r="N12" s="25">
        <v>93</v>
      </c>
    </row>
    <row r="13" spans="1:14" x14ac:dyDescent="0.25">
      <c r="A13" s="16">
        <v>2021</v>
      </c>
      <c r="B13" s="17" t="s">
        <v>14</v>
      </c>
      <c r="C13" s="17" t="s">
        <v>15</v>
      </c>
      <c r="D13" s="17" t="s">
        <v>21</v>
      </c>
      <c r="E13" s="18">
        <v>2160</v>
      </c>
      <c r="F13" s="17">
        <v>1964</v>
      </c>
      <c r="G13" s="19">
        <f t="shared" si="0"/>
        <v>-9.0740740740740747E-2</v>
      </c>
      <c r="H13" s="18">
        <v>53081</v>
      </c>
      <c r="I13" s="20">
        <v>47668</v>
      </c>
      <c r="J13" s="21">
        <f t="shared" si="1"/>
        <v>-0.10197622501460032</v>
      </c>
      <c r="K13" s="22">
        <v>6.15</v>
      </c>
      <c r="L13" s="17">
        <v>-2.33</v>
      </c>
      <c r="M13" s="20">
        <v>46</v>
      </c>
      <c r="N13" s="18">
        <v>50</v>
      </c>
    </row>
    <row r="14" spans="1:14" x14ac:dyDescent="0.25">
      <c r="A14" s="23">
        <v>2020</v>
      </c>
      <c r="B14" s="24" t="s">
        <v>14</v>
      </c>
      <c r="C14" s="24" t="s">
        <v>22</v>
      </c>
      <c r="D14" s="24" t="s">
        <v>16</v>
      </c>
      <c r="E14" s="25">
        <v>806</v>
      </c>
      <c r="F14" s="24">
        <v>750</v>
      </c>
      <c r="G14" s="26">
        <f t="shared" si="0"/>
        <v>-6.9478908188585611E-2</v>
      </c>
      <c r="H14" s="25">
        <v>90141</v>
      </c>
      <c r="I14" s="27">
        <v>83340</v>
      </c>
      <c r="J14" s="28">
        <f t="shared" si="1"/>
        <v>-7.5448464072952373E-2</v>
      </c>
      <c r="K14" s="29">
        <v>5.59</v>
      </c>
      <c r="L14" s="24">
        <v>-3.54</v>
      </c>
      <c r="M14" s="27">
        <v>276</v>
      </c>
      <c r="N14" s="25">
        <v>60</v>
      </c>
    </row>
    <row r="15" spans="1:14" x14ac:dyDescent="0.25">
      <c r="A15" s="16">
        <v>2020</v>
      </c>
      <c r="B15" s="17" t="s">
        <v>19</v>
      </c>
      <c r="C15" s="17" t="s">
        <v>24</v>
      </c>
      <c r="D15" s="17" t="s">
        <v>16</v>
      </c>
      <c r="E15" s="18">
        <v>4888</v>
      </c>
      <c r="F15" s="17">
        <v>4764</v>
      </c>
      <c r="G15" s="19">
        <f t="shared" si="0"/>
        <v>-2.5368248772504091E-2</v>
      </c>
      <c r="H15" s="18">
        <v>54949</v>
      </c>
      <c r="I15" s="20">
        <v>46126</v>
      </c>
      <c r="J15" s="21">
        <f t="shared" si="1"/>
        <v>-0.1605670712842818</v>
      </c>
      <c r="K15" s="22">
        <v>9.91</v>
      </c>
      <c r="L15" s="17">
        <v>-2.5099999999999998</v>
      </c>
      <c r="M15" s="20">
        <v>251</v>
      </c>
      <c r="N15" s="18">
        <v>129</v>
      </c>
    </row>
    <row r="16" spans="1:14" x14ac:dyDescent="0.25">
      <c r="A16" s="23">
        <v>2020</v>
      </c>
      <c r="B16" s="24" t="s">
        <v>19</v>
      </c>
      <c r="C16" s="24" t="s">
        <v>22</v>
      </c>
      <c r="D16" s="24" t="s">
        <v>25</v>
      </c>
      <c r="E16" s="25">
        <v>4719</v>
      </c>
      <c r="F16" s="24">
        <v>4329</v>
      </c>
      <c r="G16" s="26">
        <f t="shared" si="0"/>
        <v>-8.2644628099173556E-2</v>
      </c>
      <c r="H16" s="25">
        <v>31509</v>
      </c>
      <c r="I16" s="27">
        <v>26905</v>
      </c>
      <c r="J16" s="28">
        <f t="shared" si="1"/>
        <v>-0.14611698244945889</v>
      </c>
      <c r="K16" s="29">
        <v>7.59</v>
      </c>
      <c r="L16" s="24">
        <v>-0.35</v>
      </c>
      <c r="M16" s="27">
        <v>187</v>
      </c>
      <c r="N16" s="25">
        <v>180</v>
      </c>
    </row>
    <row r="17" spans="1:14" x14ac:dyDescent="0.25">
      <c r="A17" s="16">
        <v>2009</v>
      </c>
      <c r="B17" s="17" t="s">
        <v>19</v>
      </c>
      <c r="C17" s="17" t="s">
        <v>24</v>
      </c>
      <c r="D17" s="17" t="s">
        <v>16</v>
      </c>
      <c r="E17" s="18">
        <v>1456</v>
      </c>
      <c r="F17" s="17">
        <v>1122</v>
      </c>
      <c r="G17" s="19">
        <f t="shared" si="0"/>
        <v>-0.22939560439560439</v>
      </c>
      <c r="H17" s="18">
        <v>45807</v>
      </c>
      <c r="I17" s="20">
        <v>37372</v>
      </c>
      <c r="J17" s="21">
        <f t="shared" si="1"/>
        <v>-0.1841421616783461</v>
      </c>
      <c r="K17" s="22">
        <v>4.04</v>
      </c>
      <c r="L17" s="17">
        <v>-2.96</v>
      </c>
      <c r="M17" s="20">
        <v>59</v>
      </c>
      <c r="N17" s="18">
        <v>79</v>
      </c>
    </row>
    <row r="18" spans="1:14" x14ac:dyDescent="0.25">
      <c r="A18" s="23">
        <v>2008</v>
      </c>
      <c r="B18" s="24" t="s">
        <v>23</v>
      </c>
      <c r="C18" s="24" t="s">
        <v>24</v>
      </c>
      <c r="D18" s="24" t="s">
        <v>25</v>
      </c>
      <c r="E18" s="25">
        <v>3381</v>
      </c>
      <c r="F18" s="24">
        <v>2959</v>
      </c>
      <c r="G18" s="26">
        <f t="shared" si="0"/>
        <v>-0.12481514344868382</v>
      </c>
      <c r="H18" s="25">
        <v>40967</v>
      </c>
      <c r="I18" s="27">
        <v>31074</v>
      </c>
      <c r="J18" s="28">
        <f t="shared" si="1"/>
        <v>-0.24148705055288402</v>
      </c>
      <c r="K18" s="29">
        <v>7.21</v>
      </c>
      <c r="L18" s="24">
        <v>-4.43</v>
      </c>
      <c r="M18" s="27">
        <v>238</v>
      </c>
      <c r="N18" s="25">
        <v>128</v>
      </c>
    </row>
    <row r="19" spans="1:14" x14ac:dyDescent="0.25">
      <c r="A19" s="16">
        <v>2009</v>
      </c>
      <c r="B19" s="17" t="s">
        <v>19</v>
      </c>
      <c r="C19" s="17" t="s">
        <v>22</v>
      </c>
      <c r="D19" s="17" t="s">
        <v>16</v>
      </c>
      <c r="E19" s="18">
        <v>509</v>
      </c>
      <c r="F19" s="17">
        <v>326</v>
      </c>
      <c r="G19" s="19">
        <f t="shared" si="0"/>
        <v>-0.35952848722986247</v>
      </c>
      <c r="H19" s="18">
        <v>92759</v>
      </c>
      <c r="I19" s="20">
        <v>90413</v>
      </c>
      <c r="J19" s="21">
        <f t="shared" si="1"/>
        <v>-2.5291346392263825E-2</v>
      </c>
      <c r="K19" s="22">
        <v>11.38</v>
      </c>
      <c r="L19" s="17">
        <v>-3.24</v>
      </c>
      <c r="M19" s="20">
        <v>187</v>
      </c>
      <c r="N19" s="18">
        <v>72</v>
      </c>
    </row>
    <row r="20" spans="1:14" x14ac:dyDescent="0.25">
      <c r="A20" s="23">
        <v>2009</v>
      </c>
      <c r="B20" s="24" t="s">
        <v>23</v>
      </c>
      <c r="C20" s="24" t="s">
        <v>18</v>
      </c>
      <c r="D20" s="24" t="s">
        <v>21</v>
      </c>
      <c r="E20" s="25">
        <v>1976</v>
      </c>
      <c r="F20" s="24">
        <v>1580</v>
      </c>
      <c r="G20" s="26">
        <f t="shared" si="0"/>
        <v>-0.20040485829959515</v>
      </c>
      <c r="H20" s="25">
        <v>72412</v>
      </c>
      <c r="I20" s="27">
        <v>65954</v>
      </c>
      <c r="J20" s="28">
        <f t="shared" si="1"/>
        <v>-8.9184113130420378E-2</v>
      </c>
      <c r="K20" s="29">
        <v>6.16</v>
      </c>
      <c r="L20" s="24">
        <v>-4.12</v>
      </c>
      <c r="M20" s="27">
        <v>189</v>
      </c>
      <c r="N20" s="25">
        <v>158</v>
      </c>
    </row>
    <row r="21" spans="1:14" x14ac:dyDescent="0.25">
      <c r="A21" s="16">
        <v>2021</v>
      </c>
      <c r="B21" s="17" t="s">
        <v>23</v>
      </c>
      <c r="C21" s="17" t="s">
        <v>22</v>
      </c>
      <c r="D21" s="17" t="s">
        <v>16</v>
      </c>
      <c r="E21" s="18">
        <v>3154</v>
      </c>
      <c r="F21" s="17">
        <v>2912</v>
      </c>
      <c r="G21" s="19">
        <f t="shared" si="0"/>
        <v>-7.6727964489537101E-2</v>
      </c>
      <c r="H21" s="18">
        <v>64072</v>
      </c>
      <c r="I21" s="20">
        <v>62875</v>
      </c>
      <c r="J21" s="21">
        <f t="shared" si="1"/>
        <v>-1.8682107628917467E-2</v>
      </c>
      <c r="K21" s="22">
        <v>10.77</v>
      </c>
      <c r="L21" s="17">
        <v>0.55000000000000004</v>
      </c>
      <c r="M21" s="20">
        <v>248</v>
      </c>
      <c r="N21" s="18">
        <v>87</v>
      </c>
    </row>
    <row r="22" spans="1:14" x14ac:dyDescent="0.25">
      <c r="A22" s="23">
        <v>2021</v>
      </c>
      <c r="B22" s="24" t="s">
        <v>14</v>
      </c>
      <c r="C22" s="24" t="s">
        <v>20</v>
      </c>
      <c r="D22" s="24" t="s">
        <v>25</v>
      </c>
      <c r="E22" s="25">
        <v>4470</v>
      </c>
      <c r="F22" s="24">
        <v>4119</v>
      </c>
      <c r="G22" s="26">
        <f t="shared" si="0"/>
        <v>-7.8523489932885909E-2</v>
      </c>
      <c r="H22" s="25">
        <v>99153</v>
      </c>
      <c r="I22" s="27">
        <v>89948</v>
      </c>
      <c r="J22" s="28">
        <f t="shared" si="1"/>
        <v>-9.283632366141216E-2</v>
      </c>
      <c r="K22" s="29">
        <v>7.26</v>
      </c>
      <c r="L22" s="24">
        <v>-3.38</v>
      </c>
      <c r="M22" s="27">
        <v>96</v>
      </c>
      <c r="N22" s="25">
        <v>199</v>
      </c>
    </row>
    <row r="23" spans="1:14" x14ac:dyDescent="0.25">
      <c r="A23" s="16">
        <v>2009</v>
      </c>
      <c r="B23" s="17" t="s">
        <v>17</v>
      </c>
      <c r="C23" s="17" t="s">
        <v>20</v>
      </c>
      <c r="D23" s="17" t="s">
        <v>25</v>
      </c>
      <c r="E23" s="18">
        <v>2049</v>
      </c>
      <c r="F23" s="17">
        <v>1968</v>
      </c>
      <c r="G23" s="19">
        <f t="shared" si="0"/>
        <v>-3.9531478770131773E-2</v>
      </c>
      <c r="H23" s="18">
        <v>46182</v>
      </c>
      <c r="I23" s="20">
        <v>39840</v>
      </c>
      <c r="J23" s="21">
        <f t="shared" si="1"/>
        <v>-0.13732623099909055</v>
      </c>
      <c r="K23" s="22">
        <v>7.87</v>
      </c>
      <c r="L23" s="17">
        <v>1.45</v>
      </c>
      <c r="M23" s="20">
        <v>195</v>
      </c>
      <c r="N23" s="18">
        <v>115</v>
      </c>
    </row>
    <row r="24" spans="1:14" x14ac:dyDescent="0.25">
      <c r="A24" s="23">
        <v>2021</v>
      </c>
      <c r="B24" s="24" t="s">
        <v>19</v>
      </c>
      <c r="C24" s="24" t="s">
        <v>20</v>
      </c>
      <c r="D24" s="24" t="s">
        <v>21</v>
      </c>
      <c r="E24" s="25">
        <v>2076</v>
      </c>
      <c r="F24" s="24">
        <v>1820</v>
      </c>
      <c r="G24" s="26">
        <f t="shared" si="0"/>
        <v>-0.1233140655105973</v>
      </c>
      <c r="H24" s="25">
        <v>64389</v>
      </c>
      <c r="I24" s="27">
        <v>56878</v>
      </c>
      <c r="J24" s="28">
        <f t="shared" si="1"/>
        <v>-0.11665035953346069</v>
      </c>
      <c r="K24" s="29">
        <v>8.77</v>
      </c>
      <c r="L24" s="24">
        <v>-0.04</v>
      </c>
      <c r="M24" s="27">
        <v>257</v>
      </c>
      <c r="N24" s="25">
        <v>85</v>
      </c>
    </row>
    <row r="25" spans="1:14" x14ac:dyDescent="0.25">
      <c r="A25" s="16">
        <v>2020</v>
      </c>
      <c r="B25" s="17" t="s">
        <v>19</v>
      </c>
      <c r="C25" s="17" t="s">
        <v>18</v>
      </c>
      <c r="D25" s="17" t="s">
        <v>21</v>
      </c>
      <c r="E25" s="18">
        <v>1658</v>
      </c>
      <c r="F25" s="17">
        <v>1577</v>
      </c>
      <c r="G25" s="19">
        <f t="shared" si="0"/>
        <v>-4.8854041013268998E-2</v>
      </c>
      <c r="H25" s="18">
        <v>96021</v>
      </c>
      <c r="I25" s="20">
        <v>86827</v>
      </c>
      <c r="J25" s="21">
        <f t="shared" si="1"/>
        <v>-9.5749888045323417E-2</v>
      </c>
      <c r="K25" s="22">
        <v>5.47</v>
      </c>
      <c r="L25" s="17">
        <v>0.43</v>
      </c>
      <c r="M25" s="20">
        <v>256</v>
      </c>
      <c r="N25" s="18">
        <v>166</v>
      </c>
    </row>
    <row r="26" spans="1:14" x14ac:dyDescent="0.25">
      <c r="A26" s="23">
        <v>2008</v>
      </c>
      <c r="B26" s="24" t="s">
        <v>17</v>
      </c>
      <c r="C26" s="24" t="s">
        <v>18</v>
      </c>
      <c r="D26" s="24" t="s">
        <v>25</v>
      </c>
      <c r="E26" s="25">
        <v>1215</v>
      </c>
      <c r="F26" s="24">
        <v>1147</v>
      </c>
      <c r="G26" s="26">
        <f t="shared" si="0"/>
        <v>-5.5967078189300412E-2</v>
      </c>
      <c r="H26" s="25">
        <v>79151</v>
      </c>
      <c r="I26" s="27">
        <v>73584</v>
      </c>
      <c r="J26" s="28">
        <f t="shared" si="1"/>
        <v>-7.0333918712334645E-2</v>
      </c>
      <c r="K26" s="29">
        <v>7.27</v>
      </c>
      <c r="L26" s="24">
        <v>2.67</v>
      </c>
      <c r="M26" s="27">
        <v>149</v>
      </c>
      <c r="N26" s="25">
        <v>57</v>
      </c>
    </row>
    <row r="27" spans="1:14" x14ac:dyDescent="0.25">
      <c r="A27" s="16">
        <v>2009</v>
      </c>
      <c r="B27" s="17" t="s">
        <v>14</v>
      </c>
      <c r="C27" s="17" t="s">
        <v>18</v>
      </c>
      <c r="D27" s="17" t="s">
        <v>21</v>
      </c>
      <c r="E27" s="18">
        <v>583</v>
      </c>
      <c r="F27" s="17">
        <v>118</v>
      </c>
      <c r="G27" s="19">
        <f t="shared" si="0"/>
        <v>-0.79759862778730706</v>
      </c>
      <c r="H27" s="18">
        <v>43327</v>
      </c>
      <c r="I27" s="20">
        <v>39903</v>
      </c>
      <c r="J27" s="21">
        <f t="shared" si="1"/>
        <v>-7.9026934705841628E-2</v>
      </c>
      <c r="K27" s="22">
        <v>9.25</v>
      </c>
      <c r="L27" s="17">
        <v>-2.5299999999999998</v>
      </c>
      <c r="M27" s="20">
        <v>72</v>
      </c>
      <c r="N27" s="18">
        <v>36</v>
      </c>
    </row>
    <row r="28" spans="1:14" x14ac:dyDescent="0.25">
      <c r="A28" s="23">
        <v>2020</v>
      </c>
      <c r="B28" s="24" t="s">
        <v>19</v>
      </c>
      <c r="C28" s="24" t="s">
        <v>18</v>
      </c>
      <c r="D28" s="24" t="s">
        <v>25</v>
      </c>
      <c r="E28" s="25">
        <v>4486</v>
      </c>
      <c r="F28" s="24">
        <v>4269</v>
      </c>
      <c r="G28" s="26">
        <f t="shared" si="0"/>
        <v>-4.8372715113687029E-2</v>
      </c>
      <c r="H28" s="25">
        <v>39346</v>
      </c>
      <c r="I28" s="27">
        <v>33964</v>
      </c>
      <c r="J28" s="28">
        <f t="shared" si="1"/>
        <v>-0.13678645859807859</v>
      </c>
      <c r="K28" s="29">
        <v>4.7699999999999996</v>
      </c>
      <c r="L28" s="24">
        <v>-0.42</v>
      </c>
      <c r="M28" s="27">
        <v>218</v>
      </c>
      <c r="N28" s="25">
        <v>98</v>
      </c>
    </row>
    <row r="29" spans="1:14" x14ac:dyDescent="0.25">
      <c r="A29" s="16">
        <v>2020</v>
      </c>
      <c r="B29" s="17" t="s">
        <v>19</v>
      </c>
      <c r="C29" s="17" t="s">
        <v>22</v>
      </c>
      <c r="D29" s="17" t="s">
        <v>25</v>
      </c>
      <c r="E29" s="18">
        <v>2824</v>
      </c>
      <c r="F29" s="17">
        <v>2750</v>
      </c>
      <c r="G29" s="19">
        <f t="shared" si="0"/>
        <v>-2.6203966005665724E-2</v>
      </c>
      <c r="H29" s="18">
        <v>99501</v>
      </c>
      <c r="I29" s="20">
        <v>98286</v>
      </c>
      <c r="J29" s="21">
        <f t="shared" si="1"/>
        <v>-1.2210932553441673E-2</v>
      </c>
      <c r="K29" s="22">
        <v>11.51</v>
      </c>
      <c r="L29" s="17">
        <v>-3.25</v>
      </c>
      <c r="M29" s="20">
        <v>233</v>
      </c>
      <c r="N29" s="18">
        <v>54</v>
      </c>
    </row>
    <row r="30" spans="1:14" x14ac:dyDescent="0.25">
      <c r="A30" s="23">
        <v>2020</v>
      </c>
      <c r="B30" s="24" t="s">
        <v>19</v>
      </c>
      <c r="C30" s="24" t="s">
        <v>20</v>
      </c>
      <c r="D30" s="24" t="s">
        <v>16</v>
      </c>
      <c r="E30" s="25">
        <v>2224</v>
      </c>
      <c r="F30" s="24">
        <v>1768</v>
      </c>
      <c r="G30" s="26">
        <f t="shared" si="0"/>
        <v>-0.20503597122302158</v>
      </c>
      <c r="H30" s="25">
        <v>93608</v>
      </c>
      <c r="I30" s="27">
        <v>89139</v>
      </c>
      <c r="J30" s="28">
        <f t="shared" si="1"/>
        <v>-4.7741646013161269E-2</v>
      </c>
      <c r="K30" s="29">
        <v>11.56</v>
      </c>
      <c r="L30" s="24">
        <v>-3.74</v>
      </c>
      <c r="M30" s="27">
        <v>273</v>
      </c>
      <c r="N30" s="25">
        <v>40</v>
      </c>
    </row>
    <row r="31" spans="1:14" x14ac:dyDescent="0.25">
      <c r="A31" s="16">
        <v>2020</v>
      </c>
      <c r="B31" s="17" t="s">
        <v>19</v>
      </c>
      <c r="C31" s="17" t="s">
        <v>15</v>
      </c>
      <c r="D31" s="17" t="s">
        <v>16</v>
      </c>
      <c r="E31" s="18">
        <v>605</v>
      </c>
      <c r="F31" s="17">
        <v>283</v>
      </c>
      <c r="G31" s="19">
        <f t="shared" si="0"/>
        <v>-0.53223140495867771</v>
      </c>
      <c r="H31" s="18">
        <v>63696</v>
      </c>
      <c r="I31" s="20">
        <v>57169</v>
      </c>
      <c r="J31" s="21">
        <f t="shared" si="1"/>
        <v>-0.10247111278573223</v>
      </c>
      <c r="K31" s="22">
        <v>5.01</v>
      </c>
      <c r="L31" s="17">
        <v>-1.48</v>
      </c>
      <c r="M31" s="20">
        <v>186</v>
      </c>
      <c r="N31" s="18">
        <v>16</v>
      </c>
    </row>
    <row r="32" spans="1:14" x14ac:dyDescent="0.25">
      <c r="A32" s="23">
        <v>2021</v>
      </c>
      <c r="B32" s="24" t="s">
        <v>23</v>
      </c>
      <c r="C32" s="24" t="s">
        <v>15</v>
      </c>
      <c r="D32" s="24" t="s">
        <v>16</v>
      </c>
      <c r="E32" s="25">
        <v>573</v>
      </c>
      <c r="F32" s="24">
        <v>82</v>
      </c>
      <c r="G32" s="26">
        <f t="shared" si="0"/>
        <v>-0.85689354275741714</v>
      </c>
      <c r="H32" s="25">
        <v>36573</v>
      </c>
      <c r="I32" s="27">
        <v>27836</v>
      </c>
      <c r="J32" s="28">
        <f t="shared" si="1"/>
        <v>-0.23889207885598665</v>
      </c>
      <c r="K32" s="29">
        <v>8.86</v>
      </c>
      <c r="L32" s="24">
        <v>-3.16</v>
      </c>
      <c r="M32" s="27">
        <v>127</v>
      </c>
      <c r="N32" s="25">
        <v>72</v>
      </c>
    </row>
    <row r="33" spans="1:14" x14ac:dyDescent="0.25">
      <c r="A33" s="16">
        <v>2020</v>
      </c>
      <c r="B33" s="17" t="s">
        <v>17</v>
      </c>
      <c r="C33" s="17" t="s">
        <v>15</v>
      </c>
      <c r="D33" s="17" t="s">
        <v>16</v>
      </c>
      <c r="E33" s="18">
        <v>4473</v>
      </c>
      <c r="F33" s="17">
        <v>4215</v>
      </c>
      <c r="G33" s="19">
        <f t="shared" si="0"/>
        <v>-5.7679409792085849E-2</v>
      </c>
      <c r="H33" s="18">
        <v>50898</v>
      </c>
      <c r="I33" s="20">
        <v>46103</v>
      </c>
      <c r="J33" s="21">
        <f t="shared" si="1"/>
        <v>-9.420802389091909E-2</v>
      </c>
      <c r="K33" s="22">
        <v>10.28</v>
      </c>
      <c r="L33" s="17">
        <v>2.44</v>
      </c>
      <c r="M33" s="20">
        <v>171</v>
      </c>
      <c r="N33" s="18">
        <v>74</v>
      </c>
    </row>
    <row r="34" spans="1:14" x14ac:dyDescent="0.25">
      <c r="A34" s="23">
        <v>2008</v>
      </c>
      <c r="B34" s="24" t="s">
        <v>14</v>
      </c>
      <c r="C34" s="24" t="s">
        <v>22</v>
      </c>
      <c r="D34" s="24" t="s">
        <v>16</v>
      </c>
      <c r="E34" s="25">
        <v>1192</v>
      </c>
      <c r="F34" s="24">
        <v>962</v>
      </c>
      <c r="G34" s="26">
        <f t="shared" si="0"/>
        <v>-0.19295302013422819</v>
      </c>
      <c r="H34" s="25">
        <v>32910</v>
      </c>
      <c r="I34" s="27">
        <v>25690</v>
      </c>
      <c r="J34" s="28">
        <f t="shared" si="1"/>
        <v>-0.21938620480097235</v>
      </c>
      <c r="K34" s="29">
        <v>11.11</v>
      </c>
      <c r="L34" s="24">
        <v>-1.1200000000000001</v>
      </c>
      <c r="M34" s="27">
        <v>35</v>
      </c>
      <c r="N34" s="25">
        <v>113</v>
      </c>
    </row>
    <row r="35" spans="1:14" x14ac:dyDescent="0.25">
      <c r="A35" s="16">
        <v>2009</v>
      </c>
      <c r="B35" s="17" t="s">
        <v>17</v>
      </c>
      <c r="C35" s="17" t="s">
        <v>24</v>
      </c>
      <c r="D35" s="17" t="s">
        <v>16</v>
      </c>
      <c r="E35" s="18">
        <v>832</v>
      </c>
      <c r="F35" s="17">
        <v>605</v>
      </c>
      <c r="G35" s="19">
        <f t="shared" si="0"/>
        <v>-0.27283653846153844</v>
      </c>
      <c r="H35" s="18">
        <v>36450</v>
      </c>
      <c r="I35" s="20">
        <v>32733</v>
      </c>
      <c r="J35" s="21">
        <f t="shared" si="1"/>
        <v>-0.10197530864197531</v>
      </c>
      <c r="K35" s="22">
        <v>7.16</v>
      </c>
      <c r="L35" s="17">
        <v>0.33</v>
      </c>
      <c r="M35" s="20">
        <v>84</v>
      </c>
      <c r="N35" s="18">
        <v>37</v>
      </c>
    </row>
    <row r="36" spans="1:14" x14ac:dyDescent="0.25">
      <c r="A36" s="23">
        <v>2021</v>
      </c>
      <c r="B36" s="24" t="s">
        <v>17</v>
      </c>
      <c r="C36" s="24" t="s">
        <v>15</v>
      </c>
      <c r="D36" s="24" t="s">
        <v>25</v>
      </c>
      <c r="E36" s="25">
        <v>3429</v>
      </c>
      <c r="F36" s="24">
        <v>3083</v>
      </c>
      <c r="G36" s="26">
        <f t="shared" si="0"/>
        <v>-0.10090405365995918</v>
      </c>
      <c r="H36" s="25">
        <v>37909</v>
      </c>
      <c r="I36" s="27">
        <v>32637</v>
      </c>
      <c r="J36" s="28">
        <f t="shared" si="1"/>
        <v>-0.13906987786541455</v>
      </c>
      <c r="K36" s="29">
        <v>7.82</v>
      </c>
      <c r="L36" s="24">
        <v>0.25</v>
      </c>
      <c r="M36" s="27">
        <v>135</v>
      </c>
      <c r="N36" s="25">
        <v>67</v>
      </c>
    </row>
    <row r="37" spans="1:14" x14ac:dyDescent="0.25">
      <c r="A37" s="16">
        <v>2020</v>
      </c>
      <c r="B37" s="17" t="s">
        <v>19</v>
      </c>
      <c r="C37" s="17" t="s">
        <v>20</v>
      </c>
      <c r="D37" s="17" t="s">
        <v>21</v>
      </c>
      <c r="E37" s="18">
        <v>1279</v>
      </c>
      <c r="F37" s="17">
        <v>1054</v>
      </c>
      <c r="G37" s="19">
        <f t="shared" si="0"/>
        <v>-0.17591868647380765</v>
      </c>
      <c r="H37" s="18">
        <v>61575</v>
      </c>
      <c r="I37" s="20">
        <v>57316</v>
      </c>
      <c r="J37" s="21">
        <f t="shared" si="1"/>
        <v>-6.916768168899716E-2</v>
      </c>
      <c r="K37" s="22">
        <v>10.45</v>
      </c>
      <c r="L37" s="17">
        <v>-3.24</v>
      </c>
      <c r="M37" s="20">
        <v>136</v>
      </c>
      <c r="N37" s="18">
        <v>58</v>
      </c>
    </row>
    <row r="38" spans="1:14" x14ac:dyDescent="0.25">
      <c r="A38" s="23">
        <v>2008</v>
      </c>
      <c r="B38" s="24" t="s">
        <v>19</v>
      </c>
      <c r="C38" s="24" t="s">
        <v>18</v>
      </c>
      <c r="D38" s="24" t="s">
        <v>16</v>
      </c>
      <c r="E38" s="25">
        <v>1543</v>
      </c>
      <c r="F38" s="24">
        <v>1435</v>
      </c>
      <c r="G38" s="26">
        <f t="shared" si="0"/>
        <v>-6.9993519118600134E-2</v>
      </c>
      <c r="H38" s="25">
        <v>35601</v>
      </c>
      <c r="I38" s="27">
        <v>30861</v>
      </c>
      <c r="J38" s="28">
        <f t="shared" si="1"/>
        <v>-0.13314232746271173</v>
      </c>
      <c r="K38" s="29">
        <v>6.33</v>
      </c>
      <c r="L38" s="24">
        <v>-3.91</v>
      </c>
      <c r="M38" s="27">
        <v>201</v>
      </c>
      <c r="N38" s="25">
        <v>145</v>
      </c>
    </row>
    <row r="39" spans="1:14" x14ac:dyDescent="0.25">
      <c r="A39" s="16">
        <v>2021</v>
      </c>
      <c r="B39" s="17" t="s">
        <v>17</v>
      </c>
      <c r="C39" s="17" t="s">
        <v>22</v>
      </c>
      <c r="D39" s="17" t="s">
        <v>25</v>
      </c>
      <c r="E39" s="18">
        <v>1856</v>
      </c>
      <c r="F39" s="17">
        <v>1728</v>
      </c>
      <c r="G39" s="19">
        <f t="shared" si="0"/>
        <v>-6.8965517241379309E-2</v>
      </c>
      <c r="H39" s="18">
        <v>94554</v>
      </c>
      <c r="I39" s="20">
        <v>87971</v>
      </c>
      <c r="J39" s="21">
        <f t="shared" si="1"/>
        <v>-6.9621591894578755E-2</v>
      </c>
      <c r="K39" s="22">
        <v>11.11</v>
      </c>
      <c r="L39" s="17">
        <v>2.09</v>
      </c>
      <c r="M39" s="20">
        <v>195</v>
      </c>
      <c r="N39" s="18">
        <v>87</v>
      </c>
    </row>
    <row r="40" spans="1:14" x14ac:dyDescent="0.25">
      <c r="A40" s="23">
        <v>2020</v>
      </c>
      <c r="B40" s="24" t="s">
        <v>14</v>
      </c>
      <c r="C40" s="24" t="s">
        <v>24</v>
      </c>
      <c r="D40" s="24" t="s">
        <v>16</v>
      </c>
      <c r="E40" s="25">
        <v>2621</v>
      </c>
      <c r="F40" s="24">
        <v>2178</v>
      </c>
      <c r="G40" s="26">
        <f t="shared" si="0"/>
        <v>-0.16901945822205267</v>
      </c>
      <c r="H40" s="25">
        <v>45648</v>
      </c>
      <c r="I40" s="27">
        <v>42449</v>
      </c>
      <c r="J40" s="28">
        <f t="shared" si="1"/>
        <v>-7.0079740623904666E-2</v>
      </c>
      <c r="K40" s="29">
        <v>4.87</v>
      </c>
      <c r="L40" s="24">
        <v>-1.46</v>
      </c>
      <c r="M40" s="27">
        <v>30</v>
      </c>
      <c r="N40" s="25">
        <v>104</v>
      </c>
    </row>
    <row r="41" spans="1:14" x14ac:dyDescent="0.25">
      <c r="A41" s="16">
        <v>2008</v>
      </c>
      <c r="B41" s="17" t="s">
        <v>17</v>
      </c>
      <c r="C41" s="17" t="s">
        <v>15</v>
      </c>
      <c r="D41" s="17" t="s">
        <v>21</v>
      </c>
      <c r="E41" s="18">
        <v>4919</v>
      </c>
      <c r="F41" s="17">
        <v>4808</v>
      </c>
      <c r="G41" s="19">
        <f t="shared" si="0"/>
        <v>-2.2565562106119128E-2</v>
      </c>
      <c r="H41" s="18">
        <v>88761</v>
      </c>
      <c r="I41" s="20">
        <v>85400</v>
      </c>
      <c r="J41" s="21">
        <f t="shared" si="1"/>
        <v>-3.7865729318056353E-2</v>
      </c>
      <c r="K41" s="22">
        <v>6.22</v>
      </c>
      <c r="L41" s="17">
        <v>1.78</v>
      </c>
      <c r="M41" s="20">
        <v>165</v>
      </c>
      <c r="N41" s="18">
        <v>99</v>
      </c>
    </row>
    <row r="42" spans="1:14" x14ac:dyDescent="0.25">
      <c r="A42" s="23">
        <v>2008</v>
      </c>
      <c r="B42" s="24" t="s">
        <v>19</v>
      </c>
      <c r="C42" s="24" t="s">
        <v>18</v>
      </c>
      <c r="D42" s="24" t="s">
        <v>21</v>
      </c>
      <c r="E42" s="25">
        <v>987</v>
      </c>
      <c r="F42" s="24">
        <v>600</v>
      </c>
      <c r="G42" s="26">
        <f t="shared" si="0"/>
        <v>-0.39209726443769</v>
      </c>
      <c r="H42" s="25">
        <v>83110</v>
      </c>
      <c r="I42" s="27">
        <v>75083</v>
      </c>
      <c r="J42" s="28">
        <f t="shared" si="1"/>
        <v>-9.6582842016604498E-2</v>
      </c>
      <c r="K42" s="29">
        <v>7.98</v>
      </c>
      <c r="L42" s="24">
        <v>-2.68</v>
      </c>
      <c r="M42" s="27">
        <v>56</v>
      </c>
      <c r="N42" s="25">
        <v>95</v>
      </c>
    </row>
    <row r="43" spans="1:14" x14ac:dyDescent="0.25">
      <c r="A43" s="16">
        <v>2009</v>
      </c>
      <c r="B43" s="17" t="s">
        <v>14</v>
      </c>
      <c r="C43" s="17" t="s">
        <v>18</v>
      </c>
      <c r="D43" s="17" t="s">
        <v>25</v>
      </c>
      <c r="E43" s="18">
        <v>4759</v>
      </c>
      <c r="F43" s="17">
        <v>4651</v>
      </c>
      <c r="G43" s="19">
        <f t="shared" si="0"/>
        <v>-2.2693843244379071E-2</v>
      </c>
      <c r="H43" s="18">
        <v>42204</v>
      </c>
      <c r="I43" s="20">
        <v>32505</v>
      </c>
      <c r="J43" s="21">
        <f t="shared" si="1"/>
        <v>-0.2298123400625533</v>
      </c>
      <c r="K43" s="22">
        <v>5.48</v>
      </c>
      <c r="L43" s="17">
        <v>2.37</v>
      </c>
      <c r="M43" s="20">
        <v>143</v>
      </c>
      <c r="N43" s="18">
        <v>43</v>
      </c>
    </row>
    <row r="44" spans="1:14" x14ac:dyDescent="0.25">
      <c r="A44" s="23">
        <v>2021</v>
      </c>
      <c r="B44" s="24" t="s">
        <v>14</v>
      </c>
      <c r="C44" s="24" t="s">
        <v>20</v>
      </c>
      <c r="D44" s="24" t="s">
        <v>25</v>
      </c>
      <c r="E44" s="25">
        <v>4907</v>
      </c>
      <c r="F44" s="24">
        <v>4599</v>
      </c>
      <c r="G44" s="26">
        <f t="shared" si="0"/>
        <v>-6.2767475035663337E-2</v>
      </c>
      <c r="H44" s="25">
        <v>94038</v>
      </c>
      <c r="I44" s="27">
        <v>84232</v>
      </c>
      <c r="J44" s="28">
        <f t="shared" si="1"/>
        <v>-0.10427699440651651</v>
      </c>
      <c r="K44" s="29">
        <v>11.64</v>
      </c>
      <c r="L44" s="24">
        <v>0.98</v>
      </c>
      <c r="M44" s="27">
        <v>218</v>
      </c>
      <c r="N44" s="25">
        <v>109</v>
      </c>
    </row>
    <row r="45" spans="1:14" x14ac:dyDescent="0.25">
      <c r="A45" s="16">
        <v>2008</v>
      </c>
      <c r="B45" s="17" t="s">
        <v>17</v>
      </c>
      <c r="C45" s="17" t="s">
        <v>15</v>
      </c>
      <c r="D45" s="17" t="s">
        <v>21</v>
      </c>
      <c r="E45" s="18">
        <v>1661</v>
      </c>
      <c r="F45" s="17">
        <v>1267</v>
      </c>
      <c r="G45" s="19">
        <f t="shared" si="0"/>
        <v>-0.23720650210716435</v>
      </c>
      <c r="H45" s="18">
        <v>49319</v>
      </c>
      <c r="I45" s="20">
        <v>40725</v>
      </c>
      <c r="J45" s="21">
        <f t="shared" si="1"/>
        <v>-0.17425333035949633</v>
      </c>
      <c r="K45" s="22">
        <v>9.84</v>
      </c>
      <c r="L45" s="17">
        <v>1.33</v>
      </c>
      <c r="M45" s="20">
        <v>216</v>
      </c>
      <c r="N45" s="18">
        <v>169</v>
      </c>
    </row>
    <row r="46" spans="1:14" x14ac:dyDescent="0.25">
      <c r="A46" s="23">
        <v>2009</v>
      </c>
      <c r="B46" s="24" t="s">
        <v>19</v>
      </c>
      <c r="C46" s="24" t="s">
        <v>15</v>
      </c>
      <c r="D46" s="24" t="s">
        <v>16</v>
      </c>
      <c r="E46" s="25">
        <v>1337</v>
      </c>
      <c r="F46" s="24">
        <v>982</v>
      </c>
      <c r="G46" s="26">
        <f t="shared" si="0"/>
        <v>-0.26551982049364248</v>
      </c>
      <c r="H46" s="25">
        <v>70262</v>
      </c>
      <c r="I46" s="27">
        <v>63577</v>
      </c>
      <c r="J46" s="28">
        <f t="shared" si="1"/>
        <v>-9.5143890011670604E-2</v>
      </c>
      <c r="K46" s="29">
        <v>4.37</v>
      </c>
      <c r="L46" s="24">
        <v>0.66</v>
      </c>
      <c r="M46" s="27">
        <v>246</v>
      </c>
      <c r="N46" s="25">
        <v>7</v>
      </c>
    </row>
    <row r="47" spans="1:14" x14ac:dyDescent="0.25">
      <c r="A47" s="16">
        <v>2020</v>
      </c>
      <c r="B47" s="17" t="s">
        <v>17</v>
      </c>
      <c r="C47" s="17" t="s">
        <v>20</v>
      </c>
      <c r="D47" s="17" t="s">
        <v>21</v>
      </c>
      <c r="E47" s="18">
        <v>3927</v>
      </c>
      <c r="F47" s="17">
        <v>3773</v>
      </c>
      <c r="G47" s="19">
        <f t="shared" si="0"/>
        <v>-3.9215686274509803E-2</v>
      </c>
      <c r="H47" s="18">
        <v>97653</v>
      </c>
      <c r="I47" s="20">
        <v>88748</v>
      </c>
      <c r="J47" s="21">
        <f t="shared" si="1"/>
        <v>-9.1190234811014514E-2</v>
      </c>
      <c r="K47" s="22">
        <v>11.82</v>
      </c>
      <c r="L47" s="17">
        <v>-0.65</v>
      </c>
      <c r="M47" s="20">
        <v>12</v>
      </c>
      <c r="N47" s="18">
        <v>195</v>
      </c>
    </row>
    <row r="48" spans="1:14" x14ac:dyDescent="0.25">
      <c r="A48" s="23">
        <v>2020</v>
      </c>
      <c r="B48" s="24" t="s">
        <v>14</v>
      </c>
      <c r="C48" s="24" t="s">
        <v>15</v>
      </c>
      <c r="D48" s="24" t="s">
        <v>25</v>
      </c>
      <c r="E48" s="25">
        <v>4040</v>
      </c>
      <c r="F48" s="24">
        <v>3665</v>
      </c>
      <c r="G48" s="26">
        <f t="shared" si="0"/>
        <v>-9.2821782178217821E-2</v>
      </c>
      <c r="H48" s="25">
        <v>35272</v>
      </c>
      <c r="I48" s="27">
        <v>29691</v>
      </c>
      <c r="J48" s="28">
        <f t="shared" si="1"/>
        <v>-0.158227489226582</v>
      </c>
      <c r="K48" s="29">
        <v>5.71</v>
      </c>
      <c r="L48" s="24">
        <v>-4.8</v>
      </c>
      <c r="M48" s="27">
        <v>49</v>
      </c>
      <c r="N48" s="25">
        <v>17</v>
      </c>
    </row>
    <row r="49" spans="1:14" x14ac:dyDescent="0.25">
      <c r="A49" s="16">
        <v>2008</v>
      </c>
      <c r="B49" s="17" t="s">
        <v>19</v>
      </c>
      <c r="C49" s="17" t="s">
        <v>18</v>
      </c>
      <c r="D49" s="17" t="s">
        <v>16</v>
      </c>
      <c r="E49" s="18">
        <v>2561</v>
      </c>
      <c r="F49" s="17">
        <v>2457</v>
      </c>
      <c r="G49" s="19">
        <f t="shared" si="0"/>
        <v>-4.060913705583756E-2</v>
      </c>
      <c r="H49" s="18">
        <v>80805</v>
      </c>
      <c r="I49" s="20">
        <v>72924</v>
      </c>
      <c r="J49" s="21">
        <f t="shared" si="1"/>
        <v>-9.7531093372934849E-2</v>
      </c>
      <c r="K49" s="22">
        <v>10.41</v>
      </c>
      <c r="L49" s="17">
        <v>1</v>
      </c>
      <c r="M49" s="20">
        <v>288</v>
      </c>
      <c r="N49" s="18">
        <v>73</v>
      </c>
    </row>
    <row r="50" spans="1:14" x14ac:dyDescent="0.25">
      <c r="A50" s="23">
        <v>2020</v>
      </c>
      <c r="B50" s="24" t="s">
        <v>23</v>
      </c>
      <c r="C50" s="24" t="s">
        <v>22</v>
      </c>
      <c r="D50" s="24" t="s">
        <v>16</v>
      </c>
      <c r="E50" s="25">
        <v>4839</v>
      </c>
      <c r="F50" s="24">
        <v>4498</v>
      </c>
      <c r="G50" s="26">
        <f t="shared" si="0"/>
        <v>-7.046910518702211E-2</v>
      </c>
      <c r="H50" s="25">
        <v>45173</v>
      </c>
      <c r="I50" s="27">
        <v>36197</v>
      </c>
      <c r="J50" s="28">
        <f t="shared" si="1"/>
        <v>-0.19870276492595135</v>
      </c>
      <c r="K50" s="29">
        <v>5.76</v>
      </c>
      <c r="L50" s="24">
        <v>2.16</v>
      </c>
      <c r="M50" s="27">
        <v>36</v>
      </c>
      <c r="N50" s="25">
        <v>73</v>
      </c>
    </row>
    <row r="51" spans="1:14" x14ac:dyDescent="0.25">
      <c r="A51" s="16">
        <v>2009</v>
      </c>
      <c r="B51" s="17" t="s">
        <v>17</v>
      </c>
      <c r="C51" s="17" t="s">
        <v>18</v>
      </c>
      <c r="D51" s="17" t="s">
        <v>25</v>
      </c>
      <c r="E51" s="18">
        <v>1741</v>
      </c>
      <c r="F51" s="17">
        <v>1313</v>
      </c>
      <c r="G51" s="19">
        <f t="shared" si="0"/>
        <v>-0.24583572659391154</v>
      </c>
      <c r="H51" s="18">
        <v>52054</v>
      </c>
      <c r="I51" s="20">
        <v>50506</v>
      </c>
      <c r="J51" s="21">
        <f t="shared" si="1"/>
        <v>-2.9738348637952897E-2</v>
      </c>
      <c r="K51" s="22">
        <v>10.71</v>
      </c>
      <c r="L51" s="17">
        <v>1.76</v>
      </c>
      <c r="M51" s="20">
        <v>128</v>
      </c>
      <c r="N51" s="18">
        <v>95</v>
      </c>
    </row>
    <row r="52" spans="1:14" x14ac:dyDescent="0.25">
      <c r="A52" s="23">
        <v>2008</v>
      </c>
      <c r="B52" s="24" t="s">
        <v>14</v>
      </c>
      <c r="C52" s="24" t="s">
        <v>22</v>
      </c>
      <c r="D52" s="24" t="s">
        <v>21</v>
      </c>
      <c r="E52" s="25">
        <v>3531</v>
      </c>
      <c r="F52" s="24">
        <v>3221</v>
      </c>
      <c r="G52" s="26">
        <f t="shared" si="0"/>
        <v>-8.7793826111583123E-2</v>
      </c>
      <c r="H52" s="25">
        <v>70189</v>
      </c>
      <c r="I52" s="27">
        <v>67922</v>
      </c>
      <c r="J52" s="28">
        <f t="shared" si="1"/>
        <v>-3.2298508313268463E-2</v>
      </c>
      <c r="K52" s="29">
        <v>8.33</v>
      </c>
      <c r="L52" s="24">
        <v>-1.07</v>
      </c>
      <c r="M52" s="27">
        <v>85</v>
      </c>
      <c r="N52" s="25">
        <v>150</v>
      </c>
    </row>
    <row r="53" spans="1:14" x14ac:dyDescent="0.25">
      <c r="A53" s="16">
        <v>2009</v>
      </c>
      <c r="B53" s="17" t="s">
        <v>17</v>
      </c>
      <c r="C53" s="17" t="s">
        <v>20</v>
      </c>
      <c r="D53" s="17" t="s">
        <v>21</v>
      </c>
      <c r="E53" s="18">
        <v>4735</v>
      </c>
      <c r="F53" s="17">
        <v>4495</v>
      </c>
      <c r="G53" s="19">
        <f t="shared" si="0"/>
        <v>-5.0686378035902854E-2</v>
      </c>
      <c r="H53" s="18">
        <v>41066</v>
      </c>
      <c r="I53" s="20">
        <v>34835</v>
      </c>
      <c r="J53" s="21">
        <f t="shared" si="1"/>
        <v>-0.15173135927531292</v>
      </c>
      <c r="K53" s="22">
        <v>10.79</v>
      </c>
      <c r="L53" s="17">
        <v>-1.1000000000000001</v>
      </c>
      <c r="M53" s="20">
        <v>108</v>
      </c>
      <c r="N53" s="18">
        <v>48</v>
      </c>
    </row>
    <row r="54" spans="1:14" x14ac:dyDescent="0.25">
      <c r="A54" s="23">
        <v>2021</v>
      </c>
      <c r="B54" s="24" t="s">
        <v>19</v>
      </c>
      <c r="C54" s="24" t="s">
        <v>20</v>
      </c>
      <c r="D54" s="24" t="s">
        <v>16</v>
      </c>
      <c r="E54" s="25">
        <v>764</v>
      </c>
      <c r="F54" s="24">
        <v>267</v>
      </c>
      <c r="G54" s="26">
        <f t="shared" si="0"/>
        <v>-0.65052356020942403</v>
      </c>
      <c r="H54" s="25">
        <v>48620</v>
      </c>
      <c r="I54" s="27">
        <v>38842</v>
      </c>
      <c r="J54" s="28">
        <f t="shared" si="1"/>
        <v>-0.20111065405183051</v>
      </c>
      <c r="K54" s="29">
        <v>8.66</v>
      </c>
      <c r="L54" s="24">
        <v>-0.47</v>
      </c>
      <c r="M54" s="27">
        <v>110</v>
      </c>
      <c r="N54" s="25">
        <v>59</v>
      </c>
    </row>
    <row r="55" spans="1:14" x14ac:dyDescent="0.25">
      <c r="A55" s="16">
        <v>2021</v>
      </c>
      <c r="B55" s="17" t="s">
        <v>23</v>
      </c>
      <c r="C55" s="17" t="s">
        <v>22</v>
      </c>
      <c r="D55" s="17" t="s">
        <v>25</v>
      </c>
      <c r="E55" s="18">
        <v>3649</v>
      </c>
      <c r="F55" s="17">
        <v>3261</v>
      </c>
      <c r="G55" s="19">
        <f t="shared" si="0"/>
        <v>-0.10633050150726227</v>
      </c>
      <c r="H55" s="18">
        <v>46054</v>
      </c>
      <c r="I55" s="20">
        <v>36974</v>
      </c>
      <c r="J55" s="21">
        <f t="shared" si="1"/>
        <v>-0.19715985582142703</v>
      </c>
      <c r="K55" s="22">
        <v>6.38</v>
      </c>
      <c r="L55" s="17">
        <v>0.6</v>
      </c>
      <c r="M55" s="20">
        <v>17</v>
      </c>
      <c r="N55" s="18">
        <v>51</v>
      </c>
    </row>
    <row r="56" spans="1:14" x14ac:dyDescent="0.25">
      <c r="A56" s="23">
        <v>2020</v>
      </c>
      <c r="B56" s="24" t="s">
        <v>14</v>
      </c>
      <c r="C56" s="24" t="s">
        <v>18</v>
      </c>
      <c r="D56" s="24" t="s">
        <v>25</v>
      </c>
      <c r="E56" s="25">
        <v>3310</v>
      </c>
      <c r="F56" s="24">
        <v>2819</v>
      </c>
      <c r="G56" s="26">
        <f t="shared" si="0"/>
        <v>-0.14833836858006041</v>
      </c>
      <c r="H56" s="25">
        <v>31089</v>
      </c>
      <c r="I56" s="27">
        <v>29949</v>
      </c>
      <c r="J56" s="28">
        <f t="shared" si="1"/>
        <v>-3.6668918266911127E-2</v>
      </c>
      <c r="K56" s="29">
        <v>10.48</v>
      </c>
      <c r="L56" s="24">
        <v>-7.0000000000000007E-2</v>
      </c>
      <c r="M56" s="27">
        <v>104</v>
      </c>
      <c r="N56" s="25">
        <v>153</v>
      </c>
    </row>
    <row r="57" spans="1:14" x14ac:dyDescent="0.25">
      <c r="A57" s="16">
        <v>2020</v>
      </c>
      <c r="B57" s="17" t="s">
        <v>19</v>
      </c>
      <c r="C57" s="17" t="s">
        <v>22</v>
      </c>
      <c r="D57" s="17" t="s">
        <v>16</v>
      </c>
      <c r="E57" s="18">
        <v>4286</v>
      </c>
      <c r="F57" s="17">
        <v>4034</v>
      </c>
      <c r="G57" s="19">
        <f t="shared" si="0"/>
        <v>-5.8796080261315914E-2</v>
      </c>
      <c r="H57" s="18">
        <v>59848</v>
      </c>
      <c r="I57" s="20">
        <v>55188</v>
      </c>
      <c r="J57" s="21">
        <f t="shared" si="1"/>
        <v>-7.786392193557011E-2</v>
      </c>
      <c r="K57" s="22">
        <v>8.59</v>
      </c>
      <c r="L57" s="17">
        <v>2.02</v>
      </c>
      <c r="M57" s="20">
        <v>96</v>
      </c>
      <c r="N57" s="18">
        <v>133</v>
      </c>
    </row>
    <row r="58" spans="1:14" x14ac:dyDescent="0.25">
      <c r="A58" s="23">
        <v>2020</v>
      </c>
      <c r="B58" s="24" t="s">
        <v>17</v>
      </c>
      <c r="C58" s="24" t="s">
        <v>22</v>
      </c>
      <c r="D58" s="24" t="s">
        <v>21</v>
      </c>
      <c r="E58" s="25">
        <v>4557</v>
      </c>
      <c r="F58" s="24">
        <v>4158</v>
      </c>
      <c r="G58" s="26">
        <f t="shared" si="0"/>
        <v>-8.755760368663594E-2</v>
      </c>
      <c r="H58" s="25">
        <v>55617</v>
      </c>
      <c r="I58" s="27">
        <v>47311</v>
      </c>
      <c r="J58" s="28">
        <f t="shared" si="1"/>
        <v>-0.14934282683352212</v>
      </c>
      <c r="K58" s="29">
        <v>5.16</v>
      </c>
      <c r="L58" s="24">
        <v>-2.36</v>
      </c>
      <c r="M58" s="27">
        <v>281</v>
      </c>
      <c r="N58" s="25">
        <v>10</v>
      </c>
    </row>
    <row r="59" spans="1:14" x14ac:dyDescent="0.25">
      <c r="A59" s="16">
        <v>2009</v>
      </c>
      <c r="B59" s="17" t="s">
        <v>23</v>
      </c>
      <c r="C59" s="17" t="s">
        <v>15</v>
      </c>
      <c r="D59" s="17" t="s">
        <v>21</v>
      </c>
      <c r="E59" s="18">
        <v>2456</v>
      </c>
      <c r="F59" s="17">
        <v>2047</v>
      </c>
      <c r="G59" s="19">
        <f t="shared" si="0"/>
        <v>-0.16653094462540716</v>
      </c>
      <c r="H59" s="18">
        <v>92077</v>
      </c>
      <c r="I59" s="20">
        <v>88404</v>
      </c>
      <c r="J59" s="21">
        <f t="shared" si="1"/>
        <v>-3.9890526407246107E-2</v>
      </c>
      <c r="K59" s="22">
        <v>5.55</v>
      </c>
      <c r="L59" s="17">
        <v>1.27</v>
      </c>
      <c r="M59" s="20">
        <v>185</v>
      </c>
      <c r="N59" s="18">
        <v>187</v>
      </c>
    </row>
    <row r="60" spans="1:14" x14ac:dyDescent="0.25">
      <c r="A60" s="23">
        <v>2020</v>
      </c>
      <c r="B60" s="24" t="s">
        <v>17</v>
      </c>
      <c r="C60" s="24" t="s">
        <v>18</v>
      </c>
      <c r="D60" s="24" t="s">
        <v>21</v>
      </c>
      <c r="E60" s="25">
        <v>3206</v>
      </c>
      <c r="F60" s="24">
        <v>3120</v>
      </c>
      <c r="G60" s="26">
        <f t="shared" si="0"/>
        <v>-2.6824703680598878E-2</v>
      </c>
      <c r="H60" s="25">
        <v>31085</v>
      </c>
      <c r="I60" s="27">
        <v>26642</v>
      </c>
      <c r="J60" s="28">
        <f t="shared" si="1"/>
        <v>-0.1429306739585009</v>
      </c>
      <c r="K60" s="29">
        <v>11.58</v>
      </c>
      <c r="L60" s="24">
        <v>0.87</v>
      </c>
      <c r="M60" s="27">
        <v>31</v>
      </c>
      <c r="N60" s="25">
        <v>149</v>
      </c>
    </row>
    <row r="61" spans="1:14" x14ac:dyDescent="0.25">
      <c r="A61" s="16">
        <v>2008</v>
      </c>
      <c r="B61" s="17" t="s">
        <v>19</v>
      </c>
      <c r="C61" s="17" t="s">
        <v>22</v>
      </c>
      <c r="D61" s="17" t="s">
        <v>25</v>
      </c>
      <c r="E61" s="18">
        <v>4904</v>
      </c>
      <c r="F61" s="17">
        <v>4674</v>
      </c>
      <c r="G61" s="19">
        <f t="shared" si="0"/>
        <v>-4.6900489396411095E-2</v>
      </c>
      <c r="H61" s="18">
        <v>95735</v>
      </c>
      <c r="I61" s="20">
        <v>86428</v>
      </c>
      <c r="J61" s="21">
        <f t="shared" si="1"/>
        <v>-9.7216274089935759E-2</v>
      </c>
      <c r="K61" s="22">
        <v>10.48</v>
      </c>
      <c r="L61" s="17">
        <v>-2.5299999999999998</v>
      </c>
      <c r="M61" s="20">
        <v>281</v>
      </c>
      <c r="N61" s="18">
        <v>197</v>
      </c>
    </row>
    <row r="62" spans="1:14" x14ac:dyDescent="0.25">
      <c r="A62" s="23">
        <v>2008</v>
      </c>
      <c r="B62" s="24" t="s">
        <v>19</v>
      </c>
      <c r="C62" s="24" t="s">
        <v>24</v>
      </c>
      <c r="D62" s="24" t="s">
        <v>16</v>
      </c>
      <c r="E62" s="25">
        <v>2972</v>
      </c>
      <c r="F62" s="24">
        <v>2788</v>
      </c>
      <c r="G62" s="26">
        <f t="shared" si="0"/>
        <v>-6.1911170928667561E-2</v>
      </c>
      <c r="H62" s="25">
        <v>71185</v>
      </c>
      <c r="I62" s="27">
        <v>68541</v>
      </c>
      <c r="J62" s="28">
        <f t="shared" si="1"/>
        <v>-3.7142656458523562E-2</v>
      </c>
      <c r="K62" s="29">
        <v>9.94</v>
      </c>
      <c r="L62" s="24">
        <v>-2.19</v>
      </c>
      <c r="M62" s="27">
        <v>93</v>
      </c>
      <c r="N62" s="25">
        <v>149</v>
      </c>
    </row>
    <row r="63" spans="1:14" x14ac:dyDescent="0.25">
      <c r="A63" s="16">
        <v>2009</v>
      </c>
      <c r="B63" s="17" t="s">
        <v>14</v>
      </c>
      <c r="C63" s="17" t="s">
        <v>15</v>
      </c>
      <c r="D63" s="17" t="s">
        <v>21</v>
      </c>
      <c r="E63" s="18">
        <v>3597</v>
      </c>
      <c r="F63" s="17">
        <v>3504</v>
      </c>
      <c r="G63" s="19">
        <f t="shared" si="0"/>
        <v>-2.585487906588824E-2</v>
      </c>
      <c r="H63" s="18">
        <v>58895</v>
      </c>
      <c r="I63" s="20">
        <v>52447</v>
      </c>
      <c r="J63" s="21">
        <f t="shared" si="1"/>
        <v>-0.10948297818150947</v>
      </c>
      <c r="K63" s="22">
        <v>10.29</v>
      </c>
      <c r="L63" s="17">
        <v>-0.2</v>
      </c>
      <c r="M63" s="20">
        <v>171</v>
      </c>
      <c r="N63" s="18">
        <v>94</v>
      </c>
    </row>
    <row r="64" spans="1:14" x14ac:dyDescent="0.25">
      <c r="A64" s="23">
        <v>2020</v>
      </c>
      <c r="B64" s="24" t="s">
        <v>14</v>
      </c>
      <c r="C64" s="24" t="s">
        <v>15</v>
      </c>
      <c r="D64" s="24" t="s">
        <v>21</v>
      </c>
      <c r="E64" s="25">
        <v>3065</v>
      </c>
      <c r="F64" s="24">
        <v>2890</v>
      </c>
      <c r="G64" s="26">
        <f t="shared" si="0"/>
        <v>-5.7096247960848286E-2</v>
      </c>
      <c r="H64" s="25">
        <v>75649</v>
      </c>
      <c r="I64" s="27">
        <v>72795</v>
      </c>
      <c r="J64" s="28">
        <f t="shared" si="1"/>
        <v>-3.7726870150299407E-2</v>
      </c>
      <c r="K64" s="29">
        <v>8.32</v>
      </c>
      <c r="L64" s="24">
        <v>-3.04</v>
      </c>
      <c r="M64" s="27">
        <v>108</v>
      </c>
      <c r="N64" s="25">
        <v>94</v>
      </c>
    </row>
    <row r="65" spans="1:14" x14ac:dyDescent="0.25">
      <c r="A65" s="16">
        <v>2020</v>
      </c>
      <c r="B65" s="17" t="s">
        <v>14</v>
      </c>
      <c r="C65" s="17" t="s">
        <v>22</v>
      </c>
      <c r="D65" s="17" t="s">
        <v>16</v>
      </c>
      <c r="E65" s="18">
        <v>4462</v>
      </c>
      <c r="F65" s="17">
        <v>4408</v>
      </c>
      <c r="G65" s="19">
        <f t="shared" si="0"/>
        <v>-1.2102196324518153E-2</v>
      </c>
      <c r="H65" s="18">
        <v>45867</v>
      </c>
      <c r="I65" s="20">
        <v>39682</v>
      </c>
      <c r="J65" s="21">
        <f t="shared" si="1"/>
        <v>-0.13484640373253101</v>
      </c>
      <c r="K65" s="22">
        <v>9.07</v>
      </c>
      <c r="L65" s="17">
        <v>-0.02</v>
      </c>
      <c r="M65" s="20">
        <v>231</v>
      </c>
      <c r="N65" s="18">
        <v>10</v>
      </c>
    </row>
    <row r="66" spans="1:14" x14ac:dyDescent="0.25">
      <c r="A66" s="23">
        <v>2020</v>
      </c>
      <c r="B66" s="24" t="s">
        <v>19</v>
      </c>
      <c r="C66" s="24" t="s">
        <v>22</v>
      </c>
      <c r="D66" s="24" t="s">
        <v>25</v>
      </c>
      <c r="E66" s="25">
        <v>3876</v>
      </c>
      <c r="F66" s="24">
        <v>3531</v>
      </c>
      <c r="G66" s="26">
        <f t="shared" si="0"/>
        <v>-8.9009287925696595E-2</v>
      </c>
      <c r="H66" s="25">
        <v>70133</v>
      </c>
      <c r="I66" s="27">
        <v>64466</v>
      </c>
      <c r="J66" s="28">
        <f t="shared" si="1"/>
        <v>-8.0803615986767996E-2</v>
      </c>
      <c r="K66" s="29">
        <v>4.0999999999999996</v>
      </c>
      <c r="L66" s="24">
        <v>-3.09</v>
      </c>
      <c r="M66" s="27">
        <v>98</v>
      </c>
      <c r="N66" s="25">
        <v>60</v>
      </c>
    </row>
    <row r="67" spans="1:14" x14ac:dyDescent="0.25">
      <c r="A67" s="16">
        <v>2008</v>
      </c>
      <c r="B67" s="17" t="s">
        <v>19</v>
      </c>
      <c r="C67" s="17" t="s">
        <v>15</v>
      </c>
      <c r="D67" s="17" t="s">
        <v>16</v>
      </c>
      <c r="E67" s="18">
        <v>2214</v>
      </c>
      <c r="F67" s="17">
        <v>1914</v>
      </c>
      <c r="G67" s="19">
        <f t="shared" ref="G67:G130" si="2">(F67-E67)/E67</f>
        <v>-0.13550135501355012</v>
      </c>
      <c r="H67" s="18">
        <v>41188</v>
      </c>
      <c r="I67" s="20">
        <v>35587</v>
      </c>
      <c r="J67" s="21">
        <f t="shared" ref="J67:J130" si="3">(I67-H67)/H67</f>
        <v>-0.13598620957560453</v>
      </c>
      <c r="K67" s="22">
        <v>6.22</v>
      </c>
      <c r="L67" s="17">
        <v>-1.4</v>
      </c>
      <c r="M67" s="20">
        <v>95</v>
      </c>
      <c r="N67" s="18">
        <v>162</v>
      </c>
    </row>
    <row r="68" spans="1:14" x14ac:dyDescent="0.25">
      <c r="A68" s="23">
        <v>2020</v>
      </c>
      <c r="B68" s="24" t="s">
        <v>19</v>
      </c>
      <c r="C68" s="24" t="s">
        <v>22</v>
      </c>
      <c r="D68" s="24" t="s">
        <v>21</v>
      </c>
      <c r="E68" s="25">
        <v>4977</v>
      </c>
      <c r="F68" s="24">
        <v>4544</v>
      </c>
      <c r="G68" s="26">
        <f t="shared" si="2"/>
        <v>-8.7000200924251564E-2</v>
      </c>
      <c r="H68" s="25">
        <v>64342</v>
      </c>
      <c r="I68" s="27">
        <v>61450</v>
      </c>
      <c r="J68" s="28">
        <f t="shared" si="3"/>
        <v>-4.494731279723975E-2</v>
      </c>
      <c r="K68" s="29">
        <v>7.64</v>
      </c>
      <c r="L68" s="24">
        <v>-0.74</v>
      </c>
      <c r="M68" s="27">
        <v>181</v>
      </c>
      <c r="N68" s="25">
        <v>75</v>
      </c>
    </row>
    <row r="69" spans="1:14" x14ac:dyDescent="0.25">
      <c r="A69" s="16">
        <v>2021</v>
      </c>
      <c r="B69" s="17" t="s">
        <v>23</v>
      </c>
      <c r="C69" s="17" t="s">
        <v>22</v>
      </c>
      <c r="D69" s="17" t="s">
        <v>16</v>
      </c>
      <c r="E69" s="18">
        <v>2148</v>
      </c>
      <c r="F69" s="17">
        <v>1916</v>
      </c>
      <c r="G69" s="19">
        <f t="shared" si="2"/>
        <v>-0.10800744878957169</v>
      </c>
      <c r="H69" s="18">
        <v>99492</v>
      </c>
      <c r="I69" s="20">
        <v>97879</v>
      </c>
      <c r="J69" s="21">
        <f t="shared" si="3"/>
        <v>-1.6212358782615687E-2</v>
      </c>
      <c r="K69" s="22">
        <v>5.93</v>
      </c>
      <c r="L69" s="17">
        <v>-1.31</v>
      </c>
      <c r="M69" s="20">
        <v>95</v>
      </c>
      <c r="N69" s="18">
        <v>200</v>
      </c>
    </row>
    <row r="70" spans="1:14" x14ac:dyDescent="0.25">
      <c r="A70" s="23">
        <v>2021</v>
      </c>
      <c r="B70" s="24" t="s">
        <v>14</v>
      </c>
      <c r="C70" s="24" t="s">
        <v>24</v>
      </c>
      <c r="D70" s="24" t="s">
        <v>25</v>
      </c>
      <c r="E70" s="25">
        <v>4931</v>
      </c>
      <c r="F70" s="24">
        <v>4611</v>
      </c>
      <c r="G70" s="26">
        <f t="shared" si="2"/>
        <v>-6.4895558710200765E-2</v>
      </c>
      <c r="H70" s="25">
        <v>93004</v>
      </c>
      <c r="I70" s="27">
        <v>89261</v>
      </c>
      <c r="J70" s="28">
        <f t="shared" si="3"/>
        <v>-4.0245580835232893E-2</v>
      </c>
      <c r="K70" s="29">
        <v>11.06</v>
      </c>
      <c r="L70" s="24">
        <v>-3.91</v>
      </c>
      <c r="M70" s="27">
        <v>227</v>
      </c>
      <c r="N70" s="25">
        <v>177</v>
      </c>
    </row>
    <row r="71" spans="1:14" x14ac:dyDescent="0.25">
      <c r="A71" s="16">
        <v>2009</v>
      </c>
      <c r="B71" s="17" t="s">
        <v>14</v>
      </c>
      <c r="C71" s="17" t="s">
        <v>24</v>
      </c>
      <c r="D71" s="17" t="s">
        <v>16</v>
      </c>
      <c r="E71" s="18">
        <v>3771</v>
      </c>
      <c r="F71" s="17">
        <v>3483</v>
      </c>
      <c r="G71" s="19">
        <f t="shared" si="2"/>
        <v>-7.6372315035799526E-2</v>
      </c>
      <c r="H71" s="18">
        <v>43245</v>
      </c>
      <c r="I71" s="20">
        <v>42143</v>
      </c>
      <c r="J71" s="21">
        <f t="shared" si="3"/>
        <v>-2.5482714764712682E-2</v>
      </c>
      <c r="K71" s="22">
        <v>7.84</v>
      </c>
      <c r="L71" s="17">
        <v>0.51</v>
      </c>
      <c r="M71" s="20">
        <v>138</v>
      </c>
      <c r="N71" s="18">
        <v>77</v>
      </c>
    </row>
    <row r="72" spans="1:14" x14ac:dyDescent="0.25">
      <c r="A72" s="23">
        <v>2009</v>
      </c>
      <c r="B72" s="24" t="s">
        <v>23</v>
      </c>
      <c r="C72" s="24" t="s">
        <v>20</v>
      </c>
      <c r="D72" s="24" t="s">
        <v>21</v>
      </c>
      <c r="E72" s="25">
        <v>1368</v>
      </c>
      <c r="F72" s="24">
        <v>1314</v>
      </c>
      <c r="G72" s="26">
        <f t="shared" si="2"/>
        <v>-3.9473684210526314E-2</v>
      </c>
      <c r="H72" s="25">
        <v>89717</v>
      </c>
      <c r="I72" s="27">
        <v>87819</v>
      </c>
      <c r="J72" s="28">
        <f t="shared" si="3"/>
        <v>-2.115541090317331E-2</v>
      </c>
      <c r="K72" s="29">
        <v>8.35</v>
      </c>
      <c r="L72" s="24">
        <v>-4.92</v>
      </c>
      <c r="M72" s="27">
        <v>118</v>
      </c>
      <c r="N72" s="25">
        <v>133</v>
      </c>
    </row>
    <row r="73" spans="1:14" x14ac:dyDescent="0.25">
      <c r="A73" s="16">
        <v>2021</v>
      </c>
      <c r="B73" s="17" t="s">
        <v>17</v>
      </c>
      <c r="C73" s="17" t="s">
        <v>20</v>
      </c>
      <c r="D73" s="17" t="s">
        <v>21</v>
      </c>
      <c r="E73" s="18">
        <v>818</v>
      </c>
      <c r="F73" s="17">
        <v>334</v>
      </c>
      <c r="G73" s="19">
        <f t="shared" si="2"/>
        <v>-0.59168704156479213</v>
      </c>
      <c r="H73" s="18">
        <v>52279</v>
      </c>
      <c r="I73" s="20">
        <v>49837</v>
      </c>
      <c r="J73" s="21">
        <f t="shared" si="3"/>
        <v>-4.6710916429158936E-2</v>
      </c>
      <c r="K73" s="22">
        <v>4.55</v>
      </c>
      <c r="L73" s="17">
        <v>0.53</v>
      </c>
      <c r="M73" s="20">
        <v>82</v>
      </c>
      <c r="N73" s="18">
        <v>100</v>
      </c>
    </row>
    <row r="74" spans="1:14" x14ac:dyDescent="0.25">
      <c r="A74" s="23">
        <v>2021</v>
      </c>
      <c r="B74" s="24" t="s">
        <v>23</v>
      </c>
      <c r="C74" s="24" t="s">
        <v>15</v>
      </c>
      <c r="D74" s="24" t="s">
        <v>25</v>
      </c>
      <c r="E74" s="25">
        <v>1380</v>
      </c>
      <c r="F74" s="24">
        <v>1296</v>
      </c>
      <c r="G74" s="26">
        <f t="shared" si="2"/>
        <v>-6.0869565217391307E-2</v>
      </c>
      <c r="H74" s="25">
        <v>65735</v>
      </c>
      <c r="I74" s="27">
        <v>56519</v>
      </c>
      <c r="J74" s="28">
        <f t="shared" si="3"/>
        <v>-0.14019928500798662</v>
      </c>
      <c r="K74" s="29">
        <v>4.58</v>
      </c>
      <c r="L74" s="24">
        <v>-0.56000000000000005</v>
      </c>
      <c r="M74" s="27">
        <v>183</v>
      </c>
      <c r="N74" s="25">
        <v>36</v>
      </c>
    </row>
    <row r="75" spans="1:14" x14ac:dyDescent="0.25">
      <c r="A75" s="16">
        <v>2021</v>
      </c>
      <c r="B75" s="17" t="s">
        <v>19</v>
      </c>
      <c r="C75" s="17" t="s">
        <v>20</v>
      </c>
      <c r="D75" s="17" t="s">
        <v>16</v>
      </c>
      <c r="E75" s="18">
        <v>1040</v>
      </c>
      <c r="F75" s="17">
        <v>950</v>
      </c>
      <c r="G75" s="19">
        <f t="shared" si="2"/>
        <v>-8.6538461538461536E-2</v>
      </c>
      <c r="H75" s="18">
        <v>80160</v>
      </c>
      <c r="I75" s="20">
        <v>72453</v>
      </c>
      <c r="J75" s="21">
        <f t="shared" si="3"/>
        <v>-9.6145209580838317E-2</v>
      </c>
      <c r="K75" s="22">
        <v>6.28</v>
      </c>
      <c r="L75" s="17">
        <v>1.71</v>
      </c>
      <c r="M75" s="20">
        <v>41</v>
      </c>
      <c r="N75" s="18">
        <v>7</v>
      </c>
    </row>
    <row r="76" spans="1:14" x14ac:dyDescent="0.25">
      <c r="A76" s="23">
        <v>2021</v>
      </c>
      <c r="B76" s="24" t="s">
        <v>17</v>
      </c>
      <c r="C76" s="24" t="s">
        <v>24</v>
      </c>
      <c r="D76" s="24" t="s">
        <v>25</v>
      </c>
      <c r="E76" s="25">
        <v>3925</v>
      </c>
      <c r="F76" s="24">
        <v>3744</v>
      </c>
      <c r="G76" s="26">
        <f t="shared" si="2"/>
        <v>-4.6114649681528661E-2</v>
      </c>
      <c r="H76" s="25">
        <v>50482</v>
      </c>
      <c r="I76" s="27">
        <v>43241</v>
      </c>
      <c r="J76" s="28">
        <f t="shared" si="3"/>
        <v>-0.14343726476763996</v>
      </c>
      <c r="K76" s="29">
        <v>6.2</v>
      </c>
      <c r="L76" s="24">
        <v>2.93</v>
      </c>
      <c r="M76" s="27">
        <v>70</v>
      </c>
      <c r="N76" s="25">
        <v>75</v>
      </c>
    </row>
    <row r="77" spans="1:14" x14ac:dyDescent="0.25">
      <c r="A77" s="16">
        <v>2009</v>
      </c>
      <c r="B77" s="17" t="s">
        <v>17</v>
      </c>
      <c r="C77" s="17" t="s">
        <v>22</v>
      </c>
      <c r="D77" s="17" t="s">
        <v>25</v>
      </c>
      <c r="E77" s="18">
        <v>3532</v>
      </c>
      <c r="F77" s="17">
        <v>3154</v>
      </c>
      <c r="G77" s="19">
        <f t="shared" si="2"/>
        <v>-0.10702151755379388</v>
      </c>
      <c r="H77" s="18">
        <v>69938</v>
      </c>
      <c r="I77" s="20">
        <v>64322</v>
      </c>
      <c r="J77" s="21">
        <f t="shared" si="3"/>
        <v>-8.0299694014698733E-2</v>
      </c>
      <c r="K77" s="22">
        <v>9.7100000000000009</v>
      </c>
      <c r="L77" s="17">
        <v>0.91</v>
      </c>
      <c r="M77" s="20">
        <v>29</v>
      </c>
      <c r="N77" s="18">
        <v>98</v>
      </c>
    </row>
    <row r="78" spans="1:14" x14ac:dyDescent="0.25">
      <c r="A78" s="23">
        <v>2020</v>
      </c>
      <c r="B78" s="24" t="s">
        <v>14</v>
      </c>
      <c r="C78" s="24" t="s">
        <v>20</v>
      </c>
      <c r="D78" s="24" t="s">
        <v>25</v>
      </c>
      <c r="E78" s="25">
        <v>3688</v>
      </c>
      <c r="F78" s="24">
        <v>3399</v>
      </c>
      <c r="G78" s="26">
        <f t="shared" si="2"/>
        <v>-7.8362255965292837E-2</v>
      </c>
      <c r="H78" s="25">
        <v>54803</v>
      </c>
      <c r="I78" s="27">
        <v>52574</v>
      </c>
      <c r="J78" s="28">
        <f t="shared" si="3"/>
        <v>-4.0672955860080649E-2</v>
      </c>
      <c r="K78" s="29">
        <v>7.72</v>
      </c>
      <c r="L78" s="24">
        <v>-0.2</v>
      </c>
      <c r="M78" s="27">
        <v>162</v>
      </c>
      <c r="N78" s="25">
        <v>102</v>
      </c>
    </row>
    <row r="79" spans="1:14" x14ac:dyDescent="0.25">
      <c r="A79" s="16">
        <v>2021</v>
      </c>
      <c r="B79" s="17" t="s">
        <v>23</v>
      </c>
      <c r="C79" s="17" t="s">
        <v>24</v>
      </c>
      <c r="D79" s="17" t="s">
        <v>16</v>
      </c>
      <c r="E79" s="18">
        <v>3343</v>
      </c>
      <c r="F79" s="17">
        <v>2958</v>
      </c>
      <c r="G79" s="19">
        <f t="shared" si="2"/>
        <v>-0.11516601854621597</v>
      </c>
      <c r="H79" s="18">
        <v>41991</v>
      </c>
      <c r="I79" s="20">
        <v>39513</v>
      </c>
      <c r="J79" s="21">
        <f t="shared" si="3"/>
        <v>-5.9012645566907197E-2</v>
      </c>
      <c r="K79" s="22">
        <v>6.03</v>
      </c>
      <c r="L79" s="17">
        <v>-4.9800000000000004</v>
      </c>
      <c r="M79" s="20">
        <v>155</v>
      </c>
      <c r="N79" s="18">
        <v>97</v>
      </c>
    </row>
    <row r="80" spans="1:14" x14ac:dyDescent="0.25">
      <c r="A80" s="23">
        <v>2009</v>
      </c>
      <c r="B80" s="24" t="s">
        <v>17</v>
      </c>
      <c r="C80" s="24" t="s">
        <v>22</v>
      </c>
      <c r="D80" s="24" t="s">
        <v>21</v>
      </c>
      <c r="E80" s="25">
        <v>791</v>
      </c>
      <c r="F80" s="24">
        <v>688</v>
      </c>
      <c r="G80" s="26">
        <f t="shared" si="2"/>
        <v>-0.13021491782553729</v>
      </c>
      <c r="H80" s="25">
        <v>75625</v>
      </c>
      <c r="I80" s="27">
        <v>74010</v>
      </c>
      <c r="J80" s="28">
        <f t="shared" si="3"/>
        <v>-2.1355371900826446E-2</v>
      </c>
      <c r="K80" s="29">
        <v>9.27</v>
      </c>
      <c r="L80" s="24">
        <v>-3.58</v>
      </c>
      <c r="M80" s="27">
        <v>241</v>
      </c>
      <c r="N80" s="25">
        <v>21</v>
      </c>
    </row>
    <row r="81" spans="1:14" x14ac:dyDescent="0.25">
      <c r="A81" s="16">
        <v>2021</v>
      </c>
      <c r="B81" s="17" t="s">
        <v>14</v>
      </c>
      <c r="C81" s="17" t="s">
        <v>15</v>
      </c>
      <c r="D81" s="17" t="s">
        <v>21</v>
      </c>
      <c r="E81" s="18">
        <v>4918</v>
      </c>
      <c r="F81" s="17">
        <v>4729</v>
      </c>
      <c r="G81" s="19">
        <f t="shared" si="2"/>
        <v>-3.8430256201708014E-2</v>
      </c>
      <c r="H81" s="18">
        <v>61196</v>
      </c>
      <c r="I81" s="20">
        <v>58219</v>
      </c>
      <c r="J81" s="21">
        <f t="shared" si="3"/>
        <v>-4.8646970390221582E-2</v>
      </c>
      <c r="K81" s="22">
        <v>7.83</v>
      </c>
      <c r="L81" s="17">
        <v>0.09</v>
      </c>
      <c r="M81" s="20">
        <v>166</v>
      </c>
      <c r="N81" s="18">
        <v>183</v>
      </c>
    </row>
    <row r="82" spans="1:14" x14ac:dyDescent="0.25">
      <c r="A82" s="23">
        <v>2021</v>
      </c>
      <c r="B82" s="24" t="s">
        <v>19</v>
      </c>
      <c r="C82" s="24" t="s">
        <v>22</v>
      </c>
      <c r="D82" s="24" t="s">
        <v>21</v>
      </c>
      <c r="E82" s="25">
        <v>2118</v>
      </c>
      <c r="F82" s="24">
        <v>1894</v>
      </c>
      <c r="G82" s="26">
        <f t="shared" si="2"/>
        <v>-0.10576015108593012</v>
      </c>
      <c r="H82" s="25">
        <v>60077</v>
      </c>
      <c r="I82" s="27">
        <v>50524</v>
      </c>
      <c r="J82" s="28">
        <f t="shared" si="3"/>
        <v>-0.15901260049603008</v>
      </c>
      <c r="K82" s="29">
        <v>8.23</v>
      </c>
      <c r="L82" s="24">
        <v>1.52</v>
      </c>
      <c r="M82" s="27">
        <v>169</v>
      </c>
      <c r="N82" s="25">
        <v>17</v>
      </c>
    </row>
    <row r="83" spans="1:14" x14ac:dyDescent="0.25">
      <c r="A83" s="16">
        <v>2008</v>
      </c>
      <c r="B83" s="17" t="s">
        <v>17</v>
      </c>
      <c r="C83" s="17" t="s">
        <v>15</v>
      </c>
      <c r="D83" s="17" t="s">
        <v>16</v>
      </c>
      <c r="E83" s="18">
        <v>2266</v>
      </c>
      <c r="F83" s="17">
        <v>1867</v>
      </c>
      <c r="G83" s="19">
        <f t="shared" si="2"/>
        <v>-0.176081200353045</v>
      </c>
      <c r="H83" s="18">
        <v>54735</v>
      </c>
      <c r="I83" s="20">
        <v>45353</v>
      </c>
      <c r="J83" s="21">
        <f t="shared" si="3"/>
        <v>-0.17140769160500594</v>
      </c>
      <c r="K83" s="22">
        <v>4.9400000000000004</v>
      </c>
      <c r="L83" s="17">
        <v>1.06</v>
      </c>
      <c r="M83" s="20">
        <v>10</v>
      </c>
      <c r="N83" s="18">
        <v>64</v>
      </c>
    </row>
    <row r="84" spans="1:14" x14ac:dyDescent="0.25">
      <c r="A84" s="23">
        <v>2020</v>
      </c>
      <c r="B84" s="24" t="s">
        <v>17</v>
      </c>
      <c r="C84" s="24" t="s">
        <v>24</v>
      </c>
      <c r="D84" s="24" t="s">
        <v>21</v>
      </c>
      <c r="E84" s="25">
        <v>4030</v>
      </c>
      <c r="F84" s="24">
        <v>3901</v>
      </c>
      <c r="G84" s="26">
        <f t="shared" si="2"/>
        <v>-3.2009925558312655E-2</v>
      </c>
      <c r="H84" s="25">
        <v>38243</v>
      </c>
      <c r="I84" s="27">
        <v>30389</v>
      </c>
      <c r="J84" s="28">
        <f t="shared" si="3"/>
        <v>-0.2053709175535392</v>
      </c>
      <c r="K84" s="29">
        <v>4.08</v>
      </c>
      <c r="L84" s="24">
        <v>-2.23</v>
      </c>
      <c r="M84" s="27">
        <v>298</v>
      </c>
      <c r="N84" s="25">
        <v>120</v>
      </c>
    </row>
    <row r="85" spans="1:14" x14ac:dyDescent="0.25">
      <c r="A85" s="16">
        <v>2021</v>
      </c>
      <c r="B85" s="17" t="s">
        <v>14</v>
      </c>
      <c r="C85" s="17" t="s">
        <v>22</v>
      </c>
      <c r="D85" s="17" t="s">
        <v>16</v>
      </c>
      <c r="E85" s="18">
        <v>1535</v>
      </c>
      <c r="F85" s="17">
        <v>1061</v>
      </c>
      <c r="G85" s="19">
        <f t="shared" si="2"/>
        <v>-0.30879478827361562</v>
      </c>
      <c r="H85" s="18">
        <v>40302</v>
      </c>
      <c r="I85" s="20">
        <v>38952</v>
      </c>
      <c r="J85" s="21">
        <f t="shared" si="3"/>
        <v>-3.3497096918267084E-2</v>
      </c>
      <c r="K85" s="22">
        <v>5.05</v>
      </c>
      <c r="L85" s="17">
        <v>-1.33</v>
      </c>
      <c r="M85" s="20">
        <v>104</v>
      </c>
      <c r="N85" s="18">
        <v>24</v>
      </c>
    </row>
    <row r="86" spans="1:14" x14ac:dyDescent="0.25">
      <c r="A86" s="23">
        <v>2021</v>
      </c>
      <c r="B86" s="24" t="s">
        <v>14</v>
      </c>
      <c r="C86" s="24" t="s">
        <v>22</v>
      </c>
      <c r="D86" s="24" t="s">
        <v>16</v>
      </c>
      <c r="E86" s="25">
        <v>2780</v>
      </c>
      <c r="F86" s="24">
        <v>2360</v>
      </c>
      <c r="G86" s="26">
        <f t="shared" si="2"/>
        <v>-0.15107913669064749</v>
      </c>
      <c r="H86" s="25">
        <v>75927</v>
      </c>
      <c r="I86" s="27">
        <v>69325</v>
      </c>
      <c r="J86" s="28">
        <f t="shared" si="3"/>
        <v>-8.695194067986356E-2</v>
      </c>
      <c r="K86" s="29">
        <v>6.09</v>
      </c>
      <c r="L86" s="24">
        <v>-2.7</v>
      </c>
      <c r="M86" s="27">
        <v>115</v>
      </c>
      <c r="N86" s="25">
        <v>144</v>
      </c>
    </row>
    <row r="87" spans="1:14" x14ac:dyDescent="0.25">
      <c r="A87" s="16">
        <v>2020</v>
      </c>
      <c r="B87" s="17" t="s">
        <v>17</v>
      </c>
      <c r="C87" s="17" t="s">
        <v>20</v>
      </c>
      <c r="D87" s="17" t="s">
        <v>21</v>
      </c>
      <c r="E87" s="18">
        <v>2671</v>
      </c>
      <c r="F87" s="17">
        <v>2270</v>
      </c>
      <c r="G87" s="19">
        <f t="shared" si="2"/>
        <v>-0.15013103706476974</v>
      </c>
      <c r="H87" s="18">
        <v>49897</v>
      </c>
      <c r="I87" s="20">
        <v>48182</v>
      </c>
      <c r="J87" s="21">
        <f t="shared" si="3"/>
        <v>-3.4370803855943245E-2</v>
      </c>
      <c r="K87" s="22">
        <v>10.210000000000001</v>
      </c>
      <c r="L87" s="17">
        <v>-2.06</v>
      </c>
      <c r="M87" s="20">
        <v>163</v>
      </c>
      <c r="N87" s="18">
        <v>21</v>
      </c>
    </row>
    <row r="88" spans="1:14" x14ac:dyDescent="0.25">
      <c r="A88" s="23">
        <v>2021</v>
      </c>
      <c r="B88" s="24" t="s">
        <v>14</v>
      </c>
      <c r="C88" s="24" t="s">
        <v>22</v>
      </c>
      <c r="D88" s="24" t="s">
        <v>16</v>
      </c>
      <c r="E88" s="25">
        <v>929</v>
      </c>
      <c r="F88" s="24">
        <v>647</v>
      </c>
      <c r="G88" s="26">
        <f t="shared" si="2"/>
        <v>-0.30355220667384286</v>
      </c>
      <c r="H88" s="25">
        <v>71004</v>
      </c>
      <c r="I88" s="27">
        <v>61379</v>
      </c>
      <c r="J88" s="28">
        <f t="shared" si="3"/>
        <v>-0.13555574333840348</v>
      </c>
      <c r="K88" s="29">
        <v>10.88</v>
      </c>
      <c r="L88" s="24">
        <v>-2.52</v>
      </c>
      <c r="M88" s="27">
        <v>222</v>
      </c>
      <c r="N88" s="25">
        <v>184</v>
      </c>
    </row>
    <row r="89" spans="1:14" x14ac:dyDescent="0.25">
      <c r="A89" s="16">
        <v>2008</v>
      </c>
      <c r="B89" s="17" t="s">
        <v>19</v>
      </c>
      <c r="C89" s="17" t="s">
        <v>22</v>
      </c>
      <c r="D89" s="17" t="s">
        <v>25</v>
      </c>
      <c r="E89" s="18">
        <v>2618</v>
      </c>
      <c r="F89" s="17">
        <v>2507</v>
      </c>
      <c r="G89" s="19">
        <f t="shared" si="2"/>
        <v>-4.2398777692895337E-2</v>
      </c>
      <c r="H89" s="18">
        <v>66598</v>
      </c>
      <c r="I89" s="20">
        <v>61246</v>
      </c>
      <c r="J89" s="21">
        <f t="shared" si="3"/>
        <v>-8.0362773656866573E-2</v>
      </c>
      <c r="K89" s="22">
        <v>9.34</v>
      </c>
      <c r="L89" s="17">
        <v>2.2400000000000002</v>
      </c>
      <c r="M89" s="20">
        <v>232</v>
      </c>
      <c r="N89" s="18">
        <v>157</v>
      </c>
    </row>
    <row r="90" spans="1:14" x14ac:dyDescent="0.25">
      <c r="A90" s="23">
        <v>2008</v>
      </c>
      <c r="B90" s="24" t="s">
        <v>19</v>
      </c>
      <c r="C90" s="24" t="s">
        <v>15</v>
      </c>
      <c r="D90" s="24" t="s">
        <v>21</v>
      </c>
      <c r="E90" s="25">
        <v>583</v>
      </c>
      <c r="F90" s="24">
        <v>472</v>
      </c>
      <c r="G90" s="26">
        <f t="shared" si="2"/>
        <v>-0.19039451114922812</v>
      </c>
      <c r="H90" s="25">
        <v>31873</v>
      </c>
      <c r="I90" s="27">
        <v>28238</v>
      </c>
      <c r="J90" s="28">
        <f t="shared" si="3"/>
        <v>-0.11404637153703762</v>
      </c>
      <c r="K90" s="29">
        <v>8.42</v>
      </c>
      <c r="L90" s="24">
        <v>-1.9</v>
      </c>
      <c r="M90" s="27">
        <v>12</v>
      </c>
      <c r="N90" s="25">
        <v>45</v>
      </c>
    </row>
    <row r="91" spans="1:14" x14ac:dyDescent="0.25">
      <c r="A91" s="16">
        <v>2020</v>
      </c>
      <c r="B91" s="17" t="s">
        <v>17</v>
      </c>
      <c r="C91" s="17" t="s">
        <v>20</v>
      </c>
      <c r="D91" s="17" t="s">
        <v>25</v>
      </c>
      <c r="E91" s="18">
        <v>997</v>
      </c>
      <c r="F91" s="17">
        <v>574</v>
      </c>
      <c r="G91" s="19">
        <f t="shared" si="2"/>
        <v>-0.42427281845536607</v>
      </c>
      <c r="H91" s="18">
        <v>97357</v>
      </c>
      <c r="I91" s="20">
        <v>87500</v>
      </c>
      <c r="J91" s="21">
        <f t="shared" si="3"/>
        <v>-0.10124592992799696</v>
      </c>
      <c r="K91" s="22">
        <v>5.65</v>
      </c>
      <c r="L91" s="17">
        <v>-0.78</v>
      </c>
      <c r="M91" s="20">
        <v>176</v>
      </c>
      <c r="N91" s="18">
        <v>33</v>
      </c>
    </row>
    <row r="92" spans="1:14" x14ac:dyDescent="0.25">
      <c r="A92" s="23">
        <v>2008</v>
      </c>
      <c r="B92" s="24" t="s">
        <v>17</v>
      </c>
      <c r="C92" s="24" t="s">
        <v>18</v>
      </c>
      <c r="D92" s="24" t="s">
        <v>16</v>
      </c>
      <c r="E92" s="25">
        <v>3780</v>
      </c>
      <c r="F92" s="24">
        <v>3637</v>
      </c>
      <c r="G92" s="26">
        <f t="shared" si="2"/>
        <v>-3.7830687830687833E-2</v>
      </c>
      <c r="H92" s="25">
        <v>83871</v>
      </c>
      <c r="I92" s="27">
        <v>78701</v>
      </c>
      <c r="J92" s="28">
        <f t="shared" si="3"/>
        <v>-6.1642283983736931E-2</v>
      </c>
      <c r="K92" s="29">
        <v>6.02</v>
      </c>
      <c r="L92" s="24">
        <v>2.0099999999999998</v>
      </c>
      <c r="M92" s="27">
        <v>42</v>
      </c>
      <c r="N92" s="25">
        <v>15</v>
      </c>
    </row>
    <row r="93" spans="1:14" x14ac:dyDescent="0.25">
      <c r="A93" s="16">
        <v>2009</v>
      </c>
      <c r="B93" s="17" t="s">
        <v>14</v>
      </c>
      <c r="C93" s="17" t="s">
        <v>24</v>
      </c>
      <c r="D93" s="17" t="s">
        <v>25</v>
      </c>
      <c r="E93" s="18">
        <v>4955</v>
      </c>
      <c r="F93" s="17">
        <v>4800</v>
      </c>
      <c r="G93" s="19">
        <f t="shared" si="2"/>
        <v>-3.1281533804238142E-2</v>
      </c>
      <c r="H93" s="18">
        <v>30527</v>
      </c>
      <c r="I93" s="20">
        <v>22634</v>
      </c>
      <c r="J93" s="21">
        <f t="shared" si="3"/>
        <v>-0.2585579978379795</v>
      </c>
      <c r="K93" s="22">
        <v>5.95</v>
      </c>
      <c r="L93" s="17">
        <v>-4.68</v>
      </c>
      <c r="M93" s="20">
        <v>274</v>
      </c>
      <c r="N93" s="18">
        <v>166</v>
      </c>
    </row>
    <row r="94" spans="1:14" x14ac:dyDescent="0.25">
      <c r="A94" s="23">
        <v>2008</v>
      </c>
      <c r="B94" s="24" t="s">
        <v>17</v>
      </c>
      <c r="C94" s="24" t="s">
        <v>15</v>
      </c>
      <c r="D94" s="24" t="s">
        <v>16</v>
      </c>
      <c r="E94" s="25">
        <v>2230</v>
      </c>
      <c r="F94" s="24">
        <v>1751</v>
      </c>
      <c r="G94" s="26">
        <f t="shared" si="2"/>
        <v>-0.2147982062780269</v>
      </c>
      <c r="H94" s="25">
        <v>41439</v>
      </c>
      <c r="I94" s="27">
        <v>35763</v>
      </c>
      <c r="J94" s="28">
        <f t="shared" si="3"/>
        <v>-0.13697241728806198</v>
      </c>
      <c r="K94" s="29">
        <v>9.86</v>
      </c>
      <c r="L94" s="24">
        <v>-2.31</v>
      </c>
      <c r="M94" s="27">
        <v>253</v>
      </c>
      <c r="N94" s="25">
        <v>72</v>
      </c>
    </row>
    <row r="95" spans="1:14" x14ac:dyDescent="0.25">
      <c r="A95" s="16">
        <v>2021</v>
      </c>
      <c r="B95" s="17" t="s">
        <v>17</v>
      </c>
      <c r="C95" s="17" t="s">
        <v>15</v>
      </c>
      <c r="D95" s="17" t="s">
        <v>16</v>
      </c>
      <c r="E95" s="18">
        <v>2614</v>
      </c>
      <c r="F95" s="17">
        <v>2336</v>
      </c>
      <c r="G95" s="19">
        <f t="shared" si="2"/>
        <v>-0.1063504208110176</v>
      </c>
      <c r="H95" s="18">
        <v>63645</v>
      </c>
      <c r="I95" s="20">
        <v>57182</v>
      </c>
      <c r="J95" s="21">
        <f t="shared" si="3"/>
        <v>-0.10154764710503575</v>
      </c>
      <c r="K95" s="22">
        <v>9.5299999999999994</v>
      </c>
      <c r="L95" s="17">
        <v>0.43</v>
      </c>
      <c r="M95" s="20">
        <v>99</v>
      </c>
      <c r="N95" s="18">
        <v>199</v>
      </c>
    </row>
    <row r="96" spans="1:14" x14ac:dyDescent="0.25">
      <c r="A96" s="23">
        <v>2009</v>
      </c>
      <c r="B96" s="24" t="s">
        <v>17</v>
      </c>
      <c r="C96" s="24" t="s">
        <v>22</v>
      </c>
      <c r="D96" s="24" t="s">
        <v>21</v>
      </c>
      <c r="E96" s="25">
        <v>2489</v>
      </c>
      <c r="F96" s="24">
        <v>2220</v>
      </c>
      <c r="G96" s="26">
        <f t="shared" si="2"/>
        <v>-0.10807553234230614</v>
      </c>
      <c r="H96" s="25">
        <v>68711</v>
      </c>
      <c r="I96" s="27">
        <v>59901</v>
      </c>
      <c r="J96" s="28">
        <f t="shared" si="3"/>
        <v>-0.12821818922734352</v>
      </c>
      <c r="K96" s="29">
        <v>11.82</v>
      </c>
      <c r="L96" s="24">
        <v>0.89</v>
      </c>
      <c r="M96" s="27">
        <v>61</v>
      </c>
      <c r="N96" s="25">
        <v>72</v>
      </c>
    </row>
    <row r="97" spans="1:14" x14ac:dyDescent="0.25">
      <c r="A97" s="16">
        <v>2021</v>
      </c>
      <c r="B97" s="17" t="s">
        <v>14</v>
      </c>
      <c r="C97" s="17" t="s">
        <v>24</v>
      </c>
      <c r="D97" s="17" t="s">
        <v>16</v>
      </c>
      <c r="E97" s="18">
        <v>3765</v>
      </c>
      <c r="F97" s="17">
        <v>3702</v>
      </c>
      <c r="G97" s="19">
        <f t="shared" si="2"/>
        <v>-1.6733067729083666E-2</v>
      </c>
      <c r="H97" s="18">
        <v>36585</v>
      </c>
      <c r="I97" s="20">
        <v>30481</v>
      </c>
      <c r="J97" s="21">
        <f t="shared" si="3"/>
        <v>-0.16684433511001776</v>
      </c>
      <c r="K97" s="22">
        <v>8.8699999999999992</v>
      </c>
      <c r="L97" s="17">
        <v>-1.07</v>
      </c>
      <c r="M97" s="20">
        <v>198</v>
      </c>
      <c r="N97" s="18">
        <v>31</v>
      </c>
    </row>
    <row r="98" spans="1:14" x14ac:dyDescent="0.25">
      <c r="A98" s="23">
        <v>2008</v>
      </c>
      <c r="B98" s="24" t="s">
        <v>14</v>
      </c>
      <c r="C98" s="24" t="s">
        <v>22</v>
      </c>
      <c r="D98" s="24" t="s">
        <v>25</v>
      </c>
      <c r="E98" s="25">
        <v>3689</v>
      </c>
      <c r="F98" s="24">
        <v>3235</v>
      </c>
      <c r="G98" s="26">
        <f t="shared" si="2"/>
        <v>-0.12306858227161832</v>
      </c>
      <c r="H98" s="25">
        <v>61882</v>
      </c>
      <c r="I98" s="27">
        <v>57469</v>
      </c>
      <c r="J98" s="28">
        <f t="shared" si="3"/>
        <v>-7.1313144371545845E-2</v>
      </c>
      <c r="K98" s="29">
        <v>11.42</v>
      </c>
      <c r="L98" s="24">
        <v>-1.82</v>
      </c>
      <c r="M98" s="27">
        <v>75</v>
      </c>
      <c r="N98" s="25">
        <v>100</v>
      </c>
    </row>
    <row r="99" spans="1:14" x14ac:dyDescent="0.25">
      <c r="A99" s="16">
        <v>2020</v>
      </c>
      <c r="B99" s="17" t="s">
        <v>14</v>
      </c>
      <c r="C99" s="17" t="s">
        <v>22</v>
      </c>
      <c r="D99" s="17" t="s">
        <v>21</v>
      </c>
      <c r="E99" s="18">
        <v>2265</v>
      </c>
      <c r="F99" s="17">
        <v>1884</v>
      </c>
      <c r="G99" s="19">
        <f t="shared" si="2"/>
        <v>-0.16821192052980133</v>
      </c>
      <c r="H99" s="18">
        <v>46556</v>
      </c>
      <c r="I99" s="20">
        <v>44058</v>
      </c>
      <c r="J99" s="21">
        <f t="shared" si="3"/>
        <v>-5.3655812355013315E-2</v>
      </c>
      <c r="K99" s="22">
        <v>10.67</v>
      </c>
      <c r="L99" s="17">
        <v>-0.54</v>
      </c>
      <c r="M99" s="20">
        <v>289</v>
      </c>
      <c r="N99" s="18">
        <v>150</v>
      </c>
    </row>
    <row r="100" spans="1:14" x14ac:dyDescent="0.25">
      <c r="A100" s="23">
        <v>2009</v>
      </c>
      <c r="B100" s="24" t="s">
        <v>14</v>
      </c>
      <c r="C100" s="24" t="s">
        <v>20</v>
      </c>
      <c r="D100" s="24" t="s">
        <v>21</v>
      </c>
      <c r="E100" s="25">
        <v>1436</v>
      </c>
      <c r="F100" s="24">
        <v>1334</v>
      </c>
      <c r="G100" s="26">
        <f t="shared" si="2"/>
        <v>-7.1030640668523673E-2</v>
      </c>
      <c r="H100" s="25">
        <v>42011</v>
      </c>
      <c r="I100" s="27">
        <v>37936</v>
      </c>
      <c r="J100" s="28">
        <f t="shared" si="3"/>
        <v>-9.699840517959582E-2</v>
      </c>
      <c r="K100" s="29">
        <v>8.7899999999999991</v>
      </c>
      <c r="L100" s="24">
        <v>-3.19</v>
      </c>
      <c r="M100" s="27">
        <v>35</v>
      </c>
      <c r="N100" s="25">
        <v>192</v>
      </c>
    </row>
    <row r="101" spans="1:14" x14ac:dyDescent="0.25">
      <c r="A101" s="16">
        <v>2008</v>
      </c>
      <c r="B101" s="17" t="s">
        <v>19</v>
      </c>
      <c r="C101" s="17" t="s">
        <v>20</v>
      </c>
      <c r="D101" s="17" t="s">
        <v>16</v>
      </c>
      <c r="E101" s="18">
        <v>2616</v>
      </c>
      <c r="F101" s="17">
        <v>2404</v>
      </c>
      <c r="G101" s="19">
        <f t="shared" si="2"/>
        <v>-8.1039755351681952E-2</v>
      </c>
      <c r="H101" s="18">
        <v>80529</v>
      </c>
      <c r="I101" s="20">
        <v>71446</v>
      </c>
      <c r="J101" s="21">
        <f t="shared" si="3"/>
        <v>-0.11279166511443083</v>
      </c>
      <c r="K101" s="22">
        <v>7.38</v>
      </c>
      <c r="L101" s="17">
        <v>-0.12</v>
      </c>
      <c r="M101" s="20">
        <v>29</v>
      </c>
      <c r="N101" s="18">
        <v>54</v>
      </c>
    </row>
    <row r="102" spans="1:14" x14ac:dyDescent="0.25">
      <c r="A102" s="23">
        <v>2009</v>
      </c>
      <c r="B102" s="24" t="s">
        <v>17</v>
      </c>
      <c r="C102" s="24" t="s">
        <v>24</v>
      </c>
      <c r="D102" s="24" t="s">
        <v>21</v>
      </c>
      <c r="E102" s="25">
        <v>1226</v>
      </c>
      <c r="F102" s="24">
        <v>902</v>
      </c>
      <c r="G102" s="26">
        <f t="shared" si="2"/>
        <v>-0.26427406199021208</v>
      </c>
      <c r="H102" s="25">
        <v>42732</v>
      </c>
      <c r="I102" s="27">
        <v>41333</v>
      </c>
      <c r="J102" s="28">
        <f t="shared" si="3"/>
        <v>-3.2738931011888045E-2</v>
      </c>
      <c r="K102" s="29">
        <v>6.39</v>
      </c>
      <c r="L102" s="24">
        <v>2.29</v>
      </c>
      <c r="M102" s="27">
        <v>58</v>
      </c>
      <c r="N102" s="25">
        <v>48</v>
      </c>
    </row>
    <row r="103" spans="1:14" x14ac:dyDescent="0.25">
      <c r="A103" s="16">
        <v>2009</v>
      </c>
      <c r="B103" s="17" t="s">
        <v>14</v>
      </c>
      <c r="C103" s="17" t="s">
        <v>24</v>
      </c>
      <c r="D103" s="17" t="s">
        <v>25</v>
      </c>
      <c r="E103" s="18">
        <v>4035</v>
      </c>
      <c r="F103" s="17">
        <v>3797</v>
      </c>
      <c r="G103" s="19">
        <f t="shared" si="2"/>
        <v>-5.8983890954151179E-2</v>
      </c>
      <c r="H103" s="18">
        <v>61458</v>
      </c>
      <c r="I103" s="20">
        <v>60218</v>
      </c>
      <c r="J103" s="21">
        <f t="shared" si="3"/>
        <v>-2.0176380617657589E-2</v>
      </c>
      <c r="K103" s="22">
        <v>8.82</v>
      </c>
      <c r="L103" s="17">
        <v>0.59</v>
      </c>
      <c r="M103" s="20">
        <v>127</v>
      </c>
      <c r="N103" s="18">
        <v>80</v>
      </c>
    </row>
    <row r="104" spans="1:14" x14ac:dyDescent="0.25">
      <c r="A104" s="23">
        <v>2009</v>
      </c>
      <c r="B104" s="24" t="s">
        <v>14</v>
      </c>
      <c r="C104" s="24" t="s">
        <v>22</v>
      </c>
      <c r="D104" s="24" t="s">
        <v>21</v>
      </c>
      <c r="E104" s="25">
        <v>2382</v>
      </c>
      <c r="F104" s="24">
        <v>1919</v>
      </c>
      <c r="G104" s="26">
        <f t="shared" si="2"/>
        <v>-0.1943744752308984</v>
      </c>
      <c r="H104" s="25">
        <v>69436</v>
      </c>
      <c r="I104" s="27">
        <v>66476</v>
      </c>
      <c r="J104" s="28">
        <f t="shared" si="3"/>
        <v>-4.2629183708738985E-2</v>
      </c>
      <c r="K104" s="29">
        <v>4.88</v>
      </c>
      <c r="L104" s="24">
        <v>2.37</v>
      </c>
      <c r="M104" s="27">
        <v>104</v>
      </c>
      <c r="N104" s="25">
        <v>126</v>
      </c>
    </row>
    <row r="105" spans="1:14" x14ac:dyDescent="0.25">
      <c r="A105" s="16">
        <v>2021</v>
      </c>
      <c r="B105" s="17" t="s">
        <v>14</v>
      </c>
      <c r="C105" s="17" t="s">
        <v>22</v>
      </c>
      <c r="D105" s="17" t="s">
        <v>16</v>
      </c>
      <c r="E105" s="18">
        <v>4187</v>
      </c>
      <c r="F105" s="17">
        <v>4115</v>
      </c>
      <c r="G105" s="19">
        <f t="shared" si="2"/>
        <v>-1.7196083114401718E-2</v>
      </c>
      <c r="H105" s="18">
        <v>92334</v>
      </c>
      <c r="I105" s="20">
        <v>84411</v>
      </c>
      <c r="J105" s="21">
        <f t="shared" si="3"/>
        <v>-8.5808044707258432E-2</v>
      </c>
      <c r="K105" s="22">
        <v>9.3000000000000007</v>
      </c>
      <c r="L105" s="17">
        <v>-7.0000000000000007E-2</v>
      </c>
      <c r="M105" s="20">
        <v>38</v>
      </c>
      <c r="N105" s="18">
        <v>158</v>
      </c>
    </row>
    <row r="106" spans="1:14" x14ac:dyDescent="0.25">
      <c r="A106" s="23">
        <v>2020</v>
      </c>
      <c r="B106" s="24" t="s">
        <v>23</v>
      </c>
      <c r="C106" s="24" t="s">
        <v>20</v>
      </c>
      <c r="D106" s="24" t="s">
        <v>25</v>
      </c>
      <c r="E106" s="25">
        <v>616</v>
      </c>
      <c r="F106" s="24">
        <v>486</v>
      </c>
      <c r="G106" s="26">
        <f t="shared" si="2"/>
        <v>-0.21103896103896103</v>
      </c>
      <c r="H106" s="25">
        <v>99209</v>
      </c>
      <c r="I106" s="27">
        <v>91272</v>
      </c>
      <c r="J106" s="28">
        <f t="shared" si="3"/>
        <v>-8.0002822324587483E-2</v>
      </c>
      <c r="K106" s="29">
        <v>8.35</v>
      </c>
      <c r="L106" s="24">
        <v>-2.91</v>
      </c>
      <c r="M106" s="27">
        <v>54</v>
      </c>
      <c r="N106" s="25">
        <v>187</v>
      </c>
    </row>
    <row r="107" spans="1:14" x14ac:dyDescent="0.25">
      <c r="A107" s="16">
        <v>2008</v>
      </c>
      <c r="B107" s="17" t="s">
        <v>17</v>
      </c>
      <c r="C107" s="17" t="s">
        <v>18</v>
      </c>
      <c r="D107" s="17" t="s">
        <v>21</v>
      </c>
      <c r="E107" s="18">
        <v>2749</v>
      </c>
      <c r="F107" s="17">
        <v>2547</v>
      </c>
      <c r="G107" s="19">
        <f t="shared" si="2"/>
        <v>-7.3481265914878136E-2</v>
      </c>
      <c r="H107" s="18">
        <v>91589</v>
      </c>
      <c r="I107" s="20">
        <v>90303</v>
      </c>
      <c r="J107" s="21">
        <f t="shared" si="3"/>
        <v>-1.4040987454825361E-2</v>
      </c>
      <c r="K107" s="22">
        <v>5.97</v>
      </c>
      <c r="L107" s="17">
        <v>-1.8</v>
      </c>
      <c r="M107" s="20">
        <v>155</v>
      </c>
      <c r="N107" s="18">
        <v>69</v>
      </c>
    </row>
    <row r="108" spans="1:14" x14ac:dyDescent="0.25">
      <c r="A108" s="23">
        <v>2020</v>
      </c>
      <c r="B108" s="24" t="s">
        <v>17</v>
      </c>
      <c r="C108" s="24" t="s">
        <v>15</v>
      </c>
      <c r="D108" s="24" t="s">
        <v>16</v>
      </c>
      <c r="E108" s="25">
        <v>1015</v>
      </c>
      <c r="F108" s="24">
        <v>806</v>
      </c>
      <c r="G108" s="26">
        <f t="shared" si="2"/>
        <v>-0.20591133004926107</v>
      </c>
      <c r="H108" s="25">
        <v>84734</v>
      </c>
      <c r="I108" s="27">
        <v>78831</v>
      </c>
      <c r="J108" s="28">
        <f t="shared" si="3"/>
        <v>-6.966506951164822E-2</v>
      </c>
      <c r="K108" s="29">
        <v>4.1399999999999997</v>
      </c>
      <c r="L108" s="24">
        <v>1.1299999999999999</v>
      </c>
      <c r="M108" s="27">
        <v>154</v>
      </c>
      <c r="N108" s="25">
        <v>79</v>
      </c>
    </row>
    <row r="109" spans="1:14" x14ac:dyDescent="0.25">
      <c r="A109" s="16">
        <v>2020</v>
      </c>
      <c r="B109" s="17" t="s">
        <v>23</v>
      </c>
      <c r="C109" s="17" t="s">
        <v>20</v>
      </c>
      <c r="D109" s="17" t="s">
        <v>21</v>
      </c>
      <c r="E109" s="18">
        <v>3129</v>
      </c>
      <c r="F109" s="17">
        <v>2963</v>
      </c>
      <c r="G109" s="19">
        <f t="shared" si="2"/>
        <v>-5.3052093320549699E-2</v>
      </c>
      <c r="H109" s="18">
        <v>86483</v>
      </c>
      <c r="I109" s="20">
        <v>83155</v>
      </c>
      <c r="J109" s="21">
        <f t="shared" si="3"/>
        <v>-3.8481551287536282E-2</v>
      </c>
      <c r="K109" s="22">
        <v>10.6</v>
      </c>
      <c r="L109" s="17">
        <v>-1.34</v>
      </c>
      <c r="M109" s="20">
        <v>50</v>
      </c>
      <c r="N109" s="18">
        <v>29</v>
      </c>
    </row>
    <row r="110" spans="1:14" x14ac:dyDescent="0.25">
      <c r="A110" s="23">
        <v>2008</v>
      </c>
      <c r="B110" s="24" t="s">
        <v>14</v>
      </c>
      <c r="C110" s="24" t="s">
        <v>15</v>
      </c>
      <c r="D110" s="24" t="s">
        <v>16</v>
      </c>
      <c r="E110" s="25">
        <v>3153</v>
      </c>
      <c r="F110" s="24">
        <v>3046</v>
      </c>
      <c r="G110" s="26">
        <f t="shared" si="2"/>
        <v>-3.3935934031081506E-2</v>
      </c>
      <c r="H110" s="25">
        <v>92253</v>
      </c>
      <c r="I110" s="27">
        <v>90600</v>
      </c>
      <c r="J110" s="28">
        <f t="shared" si="3"/>
        <v>-1.7918116484016779E-2</v>
      </c>
      <c r="K110" s="29">
        <v>10.45</v>
      </c>
      <c r="L110" s="24">
        <v>-3.62</v>
      </c>
      <c r="M110" s="27">
        <v>71</v>
      </c>
      <c r="N110" s="25">
        <v>5</v>
      </c>
    </row>
    <row r="111" spans="1:14" x14ac:dyDescent="0.25">
      <c r="A111" s="16">
        <v>2020</v>
      </c>
      <c r="B111" s="17" t="s">
        <v>14</v>
      </c>
      <c r="C111" s="17" t="s">
        <v>24</v>
      </c>
      <c r="D111" s="17" t="s">
        <v>25</v>
      </c>
      <c r="E111" s="18">
        <v>3823</v>
      </c>
      <c r="F111" s="17">
        <v>3490</v>
      </c>
      <c r="G111" s="19">
        <f t="shared" si="2"/>
        <v>-8.7104368297148835E-2</v>
      </c>
      <c r="H111" s="18">
        <v>91719</v>
      </c>
      <c r="I111" s="20">
        <v>84191</v>
      </c>
      <c r="J111" s="21">
        <f t="shared" si="3"/>
        <v>-8.2076777984932237E-2</v>
      </c>
      <c r="K111" s="22">
        <v>11.3</v>
      </c>
      <c r="L111" s="17">
        <v>-3.75</v>
      </c>
      <c r="M111" s="20">
        <v>50</v>
      </c>
      <c r="N111" s="18">
        <v>115</v>
      </c>
    </row>
    <row r="112" spans="1:14" x14ac:dyDescent="0.25">
      <c r="A112" s="23">
        <v>2021</v>
      </c>
      <c r="B112" s="24" t="s">
        <v>23</v>
      </c>
      <c r="C112" s="24" t="s">
        <v>24</v>
      </c>
      <c r="D112" s="24" t="s">
        <v>25</v>
      </c>
      <c r="E112" s="25">
        <v>4832</v>
      </c>
      <c r="F112" s="24">
        <v>4396</v>
      </c>
      <c r="G112" s="26">
        <f t="shared" si="2"/>
        <v>-9.0231788079470202E-2</v>
      </c>
      <c r="H112" s="25">
        <v>95879</v>
      </c>
      <c r="I112" s="27">
        <v>86152</v>
      </c>
      <c r="J112" s="28">
        <f t="shared" si="3"/>
        <v>-0.10145078692935888</v>
      </c>
      <c r="K112" s="29">
        <v>11.89</v>
      </c>
      <c r="L112" s="24">
        <v>-2.85</v>
      </c>
      <c r="M112" s="27">
        <v>278</v>
      </c>
      <c r="N112" s="25">
        <v>103</v>
      </c>
    </row>
    <row r="113" spans="1:14" x14ac:dyDescent="0.25">
      <c r="A113" s="16">
        <v>2009</v>
      </c>
      <c r="B113" s="17" t="s">
        <v>17</v>
      </c>
      <c r="C113" s="17" t="s">
        <v>22</v>
      </c>
      <c r="D113" s="17" t="s">
        <v>16</v>
      </c>
      <c r="E113" s="18">
        <v>2536</v>
      </c>
      <c r="F113" s="17">
        <v>2430</v>
      </c>
      <c r="G113" s="19">
        <f t="shared" si="2"/>
        <v>-4.1798107255520502E-2</v>
      </c>
      <c r="H113" s="18">
        <v>52493</v>
      </c>
      <c r="I113" s="20">
        <v>44101</v>
      </c>
      <c r="J113" s="21">
        <f t="shared" si="3"/>
        <v>-0.15986893490560647</v>
      </c>
      <c r="K113" s="22">
        <v>9.36</v>
      </c>
      <c r="L113" s="17">
        <v>-4.72</v>
      </c>
      <c r="M113" s="20">
        <v>45</v>
      </c>
      <c r="N113" s="18">
        <v>82</v>
      </c>
    </row>
    <row r="114" spans="1:14" x14ac:dyDescent="0.25">
      <c r="A114" s="23">
        <v>2009</v>
      </c>
      <c r="B114" s="24" t="s">
        <v>17</v>
      </c>
      <c r="C114" s="24" t="s">
        <v>22</v>
      </c>
      <c r="D114" s="24" t="s">
        <v>21</v>
      </c>
      <c r="E114" s="25">
        <v>3873</v>
      </c>
      <c r="F114" s="24">
        <v>3544</v>
      </c>
      <c r="G114" s="26">
        <f t="shared" si="2"/>
        <v>-8.4947069455202681E-2</v>
      </c>
      <c r="H114" s="25">
        <v>52976</v>
      </c>
      <c r="I114" s="27">
        <v>46574</v>
      </c>
      <c r="J114" s="28">
        <f t="shared" si="3"/>
        <v>-0.12084717607973422</v>
      </c>
      <c r="K114" s="29">
        <v>9.27</v>
      </c>
      <c r="L114" s="24">
        <v>-3.36</v>
      </c>
      <c r="M114" s="27">
        <v>62</v>
      </c>
      <c r="N114" s="25">
        <v>19</v>
      </c>
    </row>
    <row r="115" spans="1:14" x14ac:dyDescent="0.25">
      <c r="A115" s="16">
        <v>2009</v>
      </c>
      <c r="B115" s="17" t="s">
        <v>19</v>
      </c>
      <c r="C115" s="17" t="s">
        <v>20</v>
      </c>
      <c r="D115" s="17" t="s">
        <v>16</v>
      </c>
      <c r="E115" s="18">
        <v>717</v>
      </c>
      <c r="F115" s="17">
        <v>574</v>
      </c>
      <c r="G115" s="19">
        <f t="shared" si="2"/>
        <v>-0.19944211994421199</v>
      </c>
      <c r="H115" s="18">
        <v>37963</v>
      </c>
      <c r="I115" s="20">
        <v>29160</v>
      </c>
      <c r="J115" s="21">
        <f t="shared" si="3"/>
        <v>-0.23188367621104761</v>
      </c>
      <c r="K115" s="22">
        <v>6.12</v>
      </c>
      <c r="L115" s="17">
        <v>0.74</v>
      </c>
      <c r="M115" s="20">
        <v>58</v>
      </c>
      <c r="N115" s="18">
        <v>197</v>
      </c>
    </row>
    <row r="116" spans="1:14" x14ac:dyDescent="0.25">
      <c r="A116" s="23">
        <v>2021</v>
      </c>
      <c r="B116" s="24" t="s">
        <v>14</v>
      </c>
      <c r="C116" s="24" t="s">
        <v>22</v>
      </c>
      <c r="D116" s="24" t="s">
        <v>21</v>
      </c>
      <c r="E116" s="25">
        <v>2605</v>
      </c>
      <c r="F116" s="24">
        <v>2530</v>
      </c>
      <c r="G116" s="26">
        <f t="shared" si="2"/>
        <v>-2.8790786948176585E-2</v>
      </c>
      <c r="H116" s="25">
        <v>72213</v>
      </c>
      <c r="I116" s="27">
        <v>63119</v>
      </c>
      <c r="J116" s="28">
        <f t="shared" si="3"/>
        <v>-0.1259330037527869</v>
      </c>
      <c r="K116" s="29">
        <v>6.21</v>
      </c>
      <c r="L116" s="24">
        <v>-0.28999999999999998</v>
      </c>
      <c r="M116" s="27">
        <v>33</v>
      </c>
      <c r="N116" s="25">
        <v>151</v>
      </c>
    </row>
    <row r="117" spans="1:14" x14ac:dyDescent="0.25">
      <c r="A117" s="16">
        <v>2021</v>
      </c>
      <c r="B117" s="17" t="s">
        <v>23</v>
      </c>
      <c r="C117" s="17" t="s">
        <v>20</v>
      </c>
      <c r="D117" s="17" t="s">
        <v>21</v>
      </c>
      <c r="E117" s="18">
        <v>1178</v>
      </c>
      <c r="F117" s="17">
        <v>1116</v>
      </c>
      <c r="G117" s="19">
        <f t="shared" si="2"/>
        <v>-5.2631578947368418E-2</v>
      </c>
      <c r="H117" s="18">
        <v>79478</v>
      </c>
      <c r="I117" s="20">
        <v>70727</v>
      </c>
      <c r="J117" s="21">
        <f t="shared" si="3"/>
        <v>-0.11010594126676565</v>
      </c>
      <c r="K117" s="22">
        <v>7.28</v>
      </c>
      <c r="L117" s="17">
        <v>0.57999999999999996</v>
      </c>
      <c r="M117" s="20">
        <v>239</v>
      </c>
      <c r="N117" s="18">
        <v>60</v>
      </c>
    </row>
    <row r="118" spans="1:14" x14ac:dyDescent="0.25">
      <c r="A118" s="23">
        <v>2020</v>
      </c>
      <c r="B118" s="24" t="s">
        <v>14</v>
      </c>
      <c r="C118" s="24" t="s">
        <v>15</v>
      </c>
      <c r="D118" s="24" t="s">
        <v>16</v>
      </c>
      <c r="E118" s="25">
        <v>870</v>
      </c>
      <c r="F118" s="24">
        <v>683</v>
      </c>
      <c r="G118" s="26">
        <f t="shared" si="2"/>
        <v>-0.21494252873563219</v>
      </c>
      <c r="H118" s="25">
        <v>84889</v>
      </c>
      <c r="I118" s="27">
        <v>83311</v>
      </c>
      <c r="J118" s="28">
        <f t="shared" si="3"/>
        <v>-1.8588980904475257E-2</v>
      </c>
      <c r="K118" s="29">
        <v>10.66</v>
      </c>
      <c r="L118" s="24">
        <v>-3.96</v>
      </c>
      <c r="M118" s="27">
        <v>162</v>
      </c>
      <c r="N118" s="25">
        <v>8</v>
      </c>
    </row>
    <row r="119" spans="1:14" x14ac:dyDescent="0.25">
      <c r="A119" s="16">
        <v>2020</v>
      </c>
      <c r="B119" s="17" t="s">
        <v>17</v>
      </c>
      <c r="C119" s="17" t="s">
        <v>15</v>
      </c>
      <c r="D119" s="17" t="s">
        <v>25</v>
      </c>
      <c r="E119" s="18">
        <v>1806</v>
      </c>
      <c r="F119" s="17">
        <v>1742</v>
      </c>
      <c r="G119" s="19">
        <f t="shared" si="2"/>
        <v>-3.5437430786267994E-2</v>
      </c>
      <c r="H119" s="18">
        <v>47416</v>
      </c>
      <c r="I119" s="20">
        <v>40268</v>
      </c>
      <c r="J119" s="21">
        <f t="shared" si="3"/>
        <v>-0.15075080141724312</v>
      </c>
      <c r="K119" s="22">
        <v>7.64</v>
      </c>
      <c r="L119" s="17">
        <v>1.85</v>
      </c>
      <c r="M119" s="20">
        <v>207</v>
      </c>
      <c r="N119" s="18">
        <v>109</v>
      </c>
    </row>
    <row r="120" spans="1:14" x14ac:dyDescent="0.25">
      <c r="A120" s="23">
        <v>2008</v>
      </c>
      <c r="B120" s="24" t="s">
        <v>17</v>
      </c>
      <c r="C120" s="24" t="s">
        <v>15</v>
      </c>
      <c r="D120" s="24" t="s">
        <v>16</v>
      </c>
      <c r="E120" s="25">
        <v>709</v>
      </c>
      <c r="F120" s="24">
        <v>565</v>
      </c>
      <c r="G120" s="26">
        <f t="shared" si="2"/>
        <v>-0.20310296191819463</v>
      </c>
      <c r="H120" s="25">
        <v>88141</v>
      </c>
      <c r="I120" s="27">
        <v>85764</v>
      </c>
      <c r="J120" s="28">
        <f t="shared" si="3"/>
        <v>-2.6968153299826415E-2</v>
      </c>
      <c r="K120" s="29">
        <v>5.32</v>
      </c>
      <c r="L120" s="24">
        <v>-1.8</v>
      </c>
      <c r="M120" s="27">
        <v>11</v>
      </c>
      <c r="N120" s="25">
        <v>190</v>
      </c>
    </row>
    <row r="121" spans="1:14" x14ac:dyDescent="0.25">
      <c r="A121" s="16">
        <v>2009</v>
      </c>
      <c r="B121" s="17" t="s">
        <v>17</v>
      </c>
      <c r="C121" s="17" t="s">
        <v>18</v>
      </c>
      <c r="D121" s="17" t="s">
        <v>25</v>
      </c>
      <c r="E121" s="18">
        <v>601</v>
      </c>
      <c r="F121" s="17">
        <v>260</v>
      </c>
      <c r="G121" s="19">
        <f t="shared" si="2"/>
        <v>-0.56738768718802002</v>
      </c>
      <c r="H121" s="18">
        <v>49346</v>
      </c>
      <c r="I121" s="20">
        <v>47639</v>
      </c>
      <c r="J121" s="21">
        <f t="shared" si="3"/>
        <v>-3.4592469501074051E-2</v>
      </c>
      <c r="K121" s="22">
        <v>7.04</v>
      </c>
      <c r="L121" s="17">
        <v>-3.73</v>
      </c>
      <c r="M121" s="20">
        <v>233</v>
      </c>
      <c r="N121" s="18">
        <v>166</v>
      </c>
    </row>
    <row r="122" spans="1:14" x14ac:dyDescent="0.25">
      <c r="A122" s="23">
        <v>2009</v>
      </c>
      <c r="B122" s="24" t="s">
        <v>19</v>
      </c>
      <c r="C122" s="24" t="s">
        <v>22</v>
      </c>
      <c r="D122" s="24" t="s">
        <v>25</v>
      </c>
      <c r="E122" s="25">
        <v>3515</v>
      </c>
      <c r="F122" s="24">
        <v>3317</v>
      </c>
      <c r="G122" s="26">
        <f t="shared" si="2"/>
        <v>-5.633001422475107E-2</v>
      </c>
      <c r="H122" s="25">
        <v>37030</v>
      </c>
      <c r="I122" s="27">
        <v>33989</v>
      </c>
      <c r="J122" s="28">
        <f t="shared" si="3"/>
        <v>-8.2122603294625979E-2</v>
      </c>
      <c r="K122" s="29">
        <v>5.05</v>
      </c>
      <c r="L122" s="24">
        <v>-0.22</v>
      </c>
      <c r="M122" s="27">
        <v>49</v>
      </c>
      <c r="N122" s="25">
        <v>78</v>
      </c>
    </row>
    <row r="123" spans="1:14" x14ac:dyDescent="0.25">
      <c r="A123" s="16">
        <v>2009</v>
      </c>
      <c r="B123" s="17" t="s">
        <v>17</v>
      </c>
      <c r="C123" s="17" t="s">
        <v>20</v>
      </c>
      <c r="D123" s="17" t="s">
        <v>25</v>
      </c>
      <c r="E123" s="18">
        <v>2052</v>
      </c>
      <c r="F123" s="17">
        <v>1609</v>
      </c>
      <c r="G123" s="19">
        <f t="shared" si="2"/>
        <v>-0.2158869395711501</v>
      </c>
      <c r="H123" s="18">
        <v>42754</v>
      </c>
      <c r="I123" s="20">
        <v>35556</v>
      </c>
      <c r="J123" s="21">
        <f t="shared" si="3"/>
        <v>-0.16835851616223044</v>
      </c>
      <c r="K123" s="22">
        <v>9.77</v>
      </c>
      <c r="L123" s="17">
        <v>0.13</v>
      </c>
      <c r="M123" s="20">
        <v>168</v>
      </c>
      <c r="N123" s="18">
        <v>27</v>
      </c>
    </row>
    <row r="124" spans="1:14" x14ac:dyDescent="0.25">
      <c r="A124" s="23">
        <v>2020</v>
      </c>
      <c r="B124" s="24" t="s">
        <v>14</v>
      </c>
      <c r="C124" s="24" t="s">
        <v>18</v>
      </c>
      <c r="D124" s="24" t="s">
        <v>16</v>
      </c>
      <c r="E124" s="25">
        <v>3083</v>
      </c>
      <c r="F124" s="24">
        <v>2859</v>
      </c>
      <c r="G124" s="26">
        <f t="shared" si="2"/>
        <v>-7.2656503405773593E-2</v>
      </c>
      <c r="H124" s="25">
        <v>37566</v>
      </c>
      <c r="I124" s="27">
        <v>28126</v>
      </c>
      <c r="J124" s="28">
        <f t="shared" si="3"/>
        <v>-0.25129106106585741</v>
      </c>
      <c r="K124" s="29">
        <v>5.1100000000000003</v>
      </c>
      <c r="L124" s="24">
        <v>0.28000000000000003</v>
      </c>
      <c r="M124" s="27">
        <v>79</v>
      </c>
      <c r="N124" s="25">
        <v>102</v>
      </c>
    </row>
    <row r="125" spans="1:14" x14ac:dyDescent="0.25">
      <c r="A125" s="16">
        <v>2008</v>
      </c>
      <c r="B125" s="17" t="s">
        <v>17</v>
      </c>
      <c r="C125" s="17" t="s">
        <v>20</v>
      </c>
      <c r="D125" s="17" t="s">
        <v>16</v>
      </c>
      <c r="E125" s="18">
        <v>4302</v>
      </c>
      <c r="F125" s="17">
        <v>3941</v>
      </c>
      <c r="G125" s="19">
        <f t="shared" si="2"/>
        <v>-8.3914458391445845E-2</v>
      </c>
      <c r="H125" s="18">
        <v>90132</v>
      </c>
      <c r="I125" s="20">
        <v>87090</v>
      </c>
      <c r="J125" s="21">
        <f t="shared" si="3"/>
        <v>-3.3750499267740645E-2</v>
      </c>
      <c r="K125" s="22">
        <v>7.53</v>
      </c>
      <c r="L125" s="17">
        <v>-4.67</v>
      </c>
      <c r="M125" s="20">
        <v>58</v>
      </c>
      <c r="N125" s="18">
        <v>20</v>
      </c>
    </row>
    <row r="126" spans="1:14" x14ac:dyDescent="0.25">
      <c r="A126" s="23">
        <v>2021</v>
      </c>
      <c r="B126" s="24" t="s">
        <v>23</v>
      </c>
      <c r="C126" s="24" t="s">
        <v>18</v>
      </c>
      <c r="D126" s="24" t="s">
        <v>16</v>
      </c>
      <c r="E126" s="25">
        <v>3668</v>
      </c>
      <c r="F126" s="24">
        <v>3253</v>
      </c>
      <c r="G126" s="26">
        <f t="shared" si="2"/>
        <v>-0.11314067611777535</v>
      </c>
      <c r="H126" s="25">
        <v>73589</v>
      </c>
      <c r="I126" s="27">
        <v>63605</v>
      </c>
      <c r="J126" s="28">
        <f t="shared" si="3"/>
        <v>-0.13567245104567258</v>
      </c>
      <c r="K126" s="29">
        <v>4.67</v>
      </c>
      <c r="L126" s="24">
        <v>-4.63</v>
      </c>
      <c r="M126" s="27">
        <v>170</v>
      </c>
      <c r="N126" s="25">
        <v>94</v>
      </c>
    </row>
    <row r="127" spans="1:14" x14ac:dyDescent="0.25">
      <c r="A127" s="16">
        <v>2009</v>
      </c>
      <c r="B127" s="17" t="s">
        <v>14</v>
      </c>
      <c r="C127" s="17" t="s">
        <v>15</v>
      </c>
      <c r="D127" s="17" t="s">
        <v>16</v>
      </c>
      <c r="E127" s="18">
        <v>3549</v>
      </c>
      <c r="F127" s="17">
        <v>3424</v>
      </c>
      <c r="G127" s="19">
        <f t="shared" si="2"/>
        <v>-3.5221189067342916E-2</v>
      </c>
      <c r="H127" s="18">
        <v>82805</v>
      </c>
      <c r="I127" s="20">
        <v>75078</v>
      </c>
      <c r="J127" s="21">
        <f t="shared" si="3"/>
        <v>-9.3315621037376964E-2</v>
      </c>
      <c r="K127" s="22">
        <v>10.33</v>
      </c>
      <c r="L127" s="17">
        <v>-3.03</v>
      </c>
      <c r="M127" s="20">
        <v>198</v>
      </c>
      <c r="N127" s="18">
        <v>167</v>
      </c>
    </row>
    <row r="128" spans="1:14" x14ac:dyDescent="0.25">
      <c r="A128" s="23">
        <v>2009</v>
      </c>
      <c r="B128" s="24" t="s">
        <v>17</v>
      </c>
      <c r="C128" s="24" t="s">
        <v>24</v>
      </c>
      <c r="D128" s="24" t="s">
        <v>25</v>
      </c>
      <c r="E128" s="25">
        <v>4995</v>
      </c>
      <c r="F128" s="24">
        <v>4590</v>
      </c>
      <c r="G128" s="26">
        <f t="shared" si="2"/>
        <v>-8.1081081081081086E-2</v>
      </c>
      <c r="H128" s="25">
        <v>42088</v>
      </c>
      <c r="I128" s="27">
        <v>36678</v>
      </c>
      <c r="J128" s="28">
        <f t="shared" si="3"/>
        <v>-0.12854020148260786</v>
      </c>
      <c r="K128" s="29">
        <v>9.7200000000000006</v>
      </c>
      <c r="L128" s="24">
        <v>-1.53</v>
      </c>
      <c r="M128" s="27">
        <v>26</v>
      </c>
      <c r="N128" s="25">
        <v>54</v>
      </c>
    </row>
    <row r="129" spans="1:14" x14ac:dyDescent="0.25">
      <c r="A129" s="16">
        <v>2009</v>
      </c>
      <c r="B129" s="17" t="s">
        <v>17</v>
      </c>
      <c r="C129" s="17" t="s">
        <v>24</v>
      </c>
      <c r="D129" s="17" t="s">
        <v>21</v>
      </c>
      <c r="E129" s="18">
        <v>1396</v>
      </c>
      <c r="F129" s="17">
        <v>1197</v>
      </c>
      <c r="G129" s="19">
        <f t="shared" si="2"/>
        <v>-0.14255014326647564</v>
      </c>
      <c r="H129" s="18">
        <v>55609</v>
      </c>
      <c r="I129" s="20">
        <v>47733</v>
      </c>
      <c r="J129" s="21">
        <f t="shared" si="3"/>
        <v>-0.14163175025625349</v>
      </c>
      <c r="K129" s="22">
        <v>10.39</v>
      </c>
      <c r="L129" s="17">
        <v>-3.64</v>
      </c>
      <c r="M129" s="20">
        <v>184</v>
      </c>
      <c r="N129" s="18">
        <v>44</v>
      </c>
    </row>
    <row r="130" spans="1:14" x14ac:dyDescent="0.25">
      <c r="A130" s="23">
        <v>2020</v>
      </c>
      <c r="B130" s="24" t="s">
        <v>14</v>
      </c>
      <c r="C130" s="24" t="s">
        <v>22</v>
      </c>
      <c r="D130" s="24" t="s">
        <v>16</v>
      </c>
      <c r="E130" s="25">
        <v>960</v>
      </c>
      <c r="F130" s="24">
        <v>896</v>
      </c>
      <c r="G130" s="26">
        <f t="shared" si="2"/>
        <v>-6.6666666666666666E-2</v>
      </c>
      <c r="H130" s="25">
        <v>72333</v>
      </c>
      <c r="I130" s="27">
        <v>67344</v>
      </c>
      <c r="J130" s="28">
        <f t="shared" si="3"/>
        <v>-6.8972668076811419E-2</v>
      </c>
      <c r="K130" s="29">
        <v>11.25</v>
      </c>
      <c r="L130" s="24">
        <v>-4.0599999999999996</v>
      </c>
      <c r="M130" s="27">
        <v>73</v>
      </c>
      <c r="N130" s="25">
        <v>157</v>
      </c>
    </row>
    <row r="131" spans="1:14" x14ac:dyDescent="0.25">
      <c r="A131" s="16">
        <v>2009</v>
      </c>
      <c r="B131" s="17" t="s">
        <v>23</v>
      </c>
      <c r="C131" s="17" t="s">
        <v>18</v>
      </c>
      <c r="D131" s="17" t="s">
        <v>21</v>
      </c>
      <c r="E131" s="18">
        <v>2646</v>
      </c>
      <c r="F131" s="17">
        <v>2441</v>
      </c>
      <c r="G131" s="19">
        <f t="shared" ref="G131:G194" si="4">(F131-E131)/E131</f>
        <v>-7.7475434618291761E-2</v>
      </c>
      <c r="H131" s="18">
        <v>47149</v>
      </c>
      <c r="I131" s="20">
        <v>38206</v>
      </c>
      <c r="J131" s="21">
        <f t="shared" ref="J131:J194" si="5">(I131-H131)/H131</f>
        <v>-0.18967528473562537</v>
      </c>
      <c r="K131" s="22">
        <v>11.69</v>
      </c>
      <c r="L131" s="17">
        <v>-3.6</v>
      </c>
      <c r="M131" s="20">
        <v>137</v>
      </c>
      <c r="N131" s="18">
        <v>189</v>
      </c>
    </row>
    <row r="132" spans="1:14" x14ac:dyDescent="0.25">
      <c r="A132" s="23">
        <v>2008</v>
      </c>
      <c r="B132" s="24" t="s">
        <v>14</v>
      </c>
      <c r="C132" s="24" t="s">
        <v>20</v>
      </c>
      <c r="D132" s="24" t="s">
        <v>21</v>
      </c>
      <c r="E132" s="25">
        <v>1546</v>
      </c>
      <c r="F132" s="24">
        <v>1076</v>
      </c>
      <c r="G132" s="26">
        <f t="shared" si="4"/>
        <v>-0.30401034928848641</v>
      </c>
      <c r="H132" s="25">
        <v>43776</v>
      </c>
      <c r="I132" s="27">
        <v>36231</v>
      </c>
      <c r="J132" s="28">
        <f t="shared" si="5"/>
        <v>-0.17235471491228072</v>
      </c>
      <c r="K132" s="29">
        <v>7.31</v>
      </c>
      <c r="L132" s="24">
        <v>-0.56000000000000005</v>
      </c>
      <c r="M132" s="27">
        <v>56</v>
      </c>
      <c r="N132" s="25">
        <v>147</v>
      </c>
    </row>
    <row r="133" spans="1:14" x14ac:dyDescent="0.25">
      <c r="A133" s="16">
        <v>2020</v>
      </c>
      <c r="B133" s="17" t="s">
        <v>14</v>
      </c>
      <c r="C133" s="17" t="s">
        <v>24</v>
      </c>
      <c r="D133" s="17" t="s">
        <v>21</v>
      </c>
      <c r="E133" s="18">
        <v>1544</v>
      </c>
      <c r="F133" s="17">
        <v>1365</v>
      </c>
      <c r="G133" s="19">
        <f t="shared" si="4"/>
        <v>-0.11593264248704663</v>
      </c>
      <c r="H133" s="18">
        <v>41561</v>
      </c>
      <c r="I133" s="20">
        <v>37905</v>
      </c>
      <c r="J133" s="21">
        <f t="shared" si="5"/>
        <v>-8.7967084526358846E-2</v>
      </c>
      <c r="K133" s="22">
        <v>10.220000000000001</v>
      </c>
      <c r="L133" s="17">
        <v>1</v>
      </c>
      <c r="M133" s="20">
        <v>124</v>
      </c>
      <c r="N133" s="18">
        <v>188</v>
      </c>
    </row>
    <row r="134" spans="1:14" x14ac:dyDescent="0.25">
      <c r="A134" s="23">
        <v>2020</v>
      </c>
      <c r="B134" s="24" t="s">
        <v>23</v>
      </c>
      <c r="C134" s="24" t="s">
        <v>22</v>
      </c>
      <c r="D134" s="24" t="s">
        <v>21</v>
      </c>
      <c r="E134" s="25">
        <v>2846</v>
      </c>
      <c r="F134" s="24">
        <v>2613</v>
      </c>
      <c r="G134" s="26">
        <f t="shared" si="4"/>
        <v>-8.1869290231904424E-2</v>
      </c>
      <c r="H134" s="25">
        <v>77616</v>
      </c>
      <c r="I134" s="27">
        <v>75876</v>
      </c>
      <c r="J134" s="28">
        <f t="shared" si="5"/>
        <v>-2.2418058132343845E-2</v>
      </c>
      <c r="K134" s="29">
        <v>6.93</v>
      </c>
      <c r="L134" s="24">
        <v>-3.44</v>
      </c>
      <c r="M134" s="27">
        <v>113</v>
      </c>
      <c r="N134" s="25">
        <v>23</v>
      </c>
    </row>
    <row r="135" spans="1:14" x14ac:dyDescent="0.25">
      <c r="A135" s="16">
        <v>2009</v>
      </c>
      <c r="B135" s="17" t="s">
        <v>14</v>
      </c>
      <c r="C135" s="17" t="s">
        <v>18</v>
      </c>
      <c r="D135" s="17" t="s">
        <v>21</v>
      </c>
      <c r="E135" s="18">
        <v>3719</v>
      </c>
      <c r="F135" s="17">
        <v>3612</v>
      </c>
      <c r="G135" s="19">
        <f t="shared" si="4"/>
        <v>-2.8771175047055661E-2</v>
      </c>
      <c r="H135" s="18">
        <v>74771</v>
      </c>
      <c r="I135" s="20">
        <v>69345</v>
      </c>
      <c r="J135" s="21">
        <f t="shared" si="5"/>
        <v>-7.2568241697984509E-2</v>
      </c>
      <c r="K135" s="22">
        <v>8.89</v>
      </c>
      <c r="L135" s="17">
        <v>-1.66</v>
      </c>
      <c r="M135" s="20">
        <v>44</v>
      </c>
      <c r="N135" s="18">
        <v>27</v>
      </c>
    </row>
    <row r="136" spans="1:14" x14ac:dyDescent="0.25">
      <c r="A136" s="23">
        <v>2009</v>
      </c>
      <c r="B136" s="24" t="s">
        <v>19</v>
      </c>
      <c r="C136" s="24" t="s">
        <v>20</v>
      </c>
      <c r="D136" s="24" t="s">
        <v>21</v>
      </c>
      <c r="E136" s="25">
        <v>3268</v>
      </c>
      <c r="F136" s="24">
        <v>3145</v>
      </c>
      <c r="G136" s="26">
        <f t="shared" si="4"/>
        <v>-3.763769889840881E-2</v>
      </c>
      <c r="H136" s="25">
        <v>94201</v>
      </c>
      <c r="I136" s="27">
        <v>89235</v>
      </c>
      <c r="J136" s="28">
        <f t="shared" si="5"/>
        <v>-5.2717062451566335E-2</v>
      </c>
      <c r="K136" s="29">
        <v>4.6399999999999997</v>
      </c>
      <c r="L136" s="24">
        <v>-0.18</v>
      </c>
      <c r="M136" s="27">
        <v>144</v>
      </c>
      <c r="N136" s="25">
        <v>187</v>
      </c>
    </row>
    <row r="137" spans="1:14" x14ac:dyDescent="0.25">
      <c r="A137" s="16">
        <v>2021</v>
      </c>
      <c r="B137" s="17" t="s">
        <v>19</v>
      </c>
      <c r="C137" s="17" t="s">
        <v>22</v>
      </c>
      <c r="D137" s="17" t="s">
        <v>16</v>
      </c>
      <c r="E137" s="18">
        <v>1104</v>
      </c>
      <c r="F137" s="17">
        <v>826</v>
      </c>
      <c r="G137" s="19">
        <f t="shared" si="4"/>
        <v>-0.25181159420289856</v>
      </c>
      <c r="H137" s="18">
        <v>81209</v>
      </c>
      <c r="I137" s="20">
        <v>77108</v>
      </c>
      <c r="J137" s="21">
        <f t="shared" si="5"/>
        <v>-5.0499328892117869E-2</v>
      </c>
      <c r="K137" s="22">
        <v>4.3499999999999996</v>
      </c>
      <c r="L137" s="17">
        <v>1.0900000000000001</v>
      </c>
      <c r="M137" s="20">
        <v>75</v>
      </c>
      <c r="N137" s="18">
        <v>46</v>
      </c>
    </row>
    <row r="138" spans="1:14" x14ac:dyDescent="0.25">
      <c r="A138" s="23">
        <v>2009</v>
      </c>
      <c r="B138" s="24" t="s">
        <v>19</v>
      </c>
      <c r="C138" s="24" t="s">
        <v>24</v>
      </c>
      <c r="D138" s="24" t="s">
        <v>25</v>
      </c>
      <c r="E138" s="25">
        <v>656</v>
      </c>
      <c r="F138" s="24">
        <v>270</v>
      </c>
      <c r="G138" s="26">
        <f t="shared" si="4"/>
        <v>-0.58841463414634143</v>
      </c>
      <c r="H138" s="25">
        <v>72529</v>
      </c>
      <c r="I138" s="27">
        <v>62604</v>
      </c>
      <c r="J138" s="28">
        <f t="shared" si="5"/>
        <v>-0.13684181499813869</v>
      </c>
      <c r="K138" s="29">
        <v>8.85</v>
      </c>
      <c r="L138" s="24">
        <v>-2.8</v>
      </c>
      <c r="M138" s="27">
        <v>250</v>
      </c>
      <c r="N138" s="25">
        <v>14</v>
      </c>
    </row>
    <row r="139" spans="1:14" x14ac:dyDescent="0.25">
      <c r="A139" s="16">
        <v>2020</v>
      </c>
      <c r="B139" s="17" t="s">
        <v>14</v>
      </c>
      <c r="C139" s="17" t="s">
        <v>18</v>
      </c>
      <c r="D139" s="17" t="s">
        <v>21</v>
      </c>
      <c r="E139" s="18">
        <v>3112</v>
      </c>
      <c r="F139" s="17">
        <v>2903</v>
      </c>
      <c r="G139" s="19">
        <f t="shared" si="4"/>
        <v>-6.7159383033419021E-2</v>
      </c>
      <c r="H139" s="18">
        <v>83812</v>
      </c>
      <c r="I139" s="20">
        <v>78852</v>
      </c>
      <c r="J139" s="21">
        <f t="shared" si="5"/>
        <v>-5.9180069679759459E-2</v>
      </c>
      <c r="K139" s="22">
        <v>4.9400000000000004</v>
      </c>
      <c r="L139" s="17">
        <v>0.87</v>
      </c>
      <c r="M139" s="20">
        <v>121</v>
      </c>
      <c r="N139" s="18">
        <v>167</v>
      </c>
    </row>
    <row r="140" spans="1:14" x14ac:dyDescent="0.25">
      <c r="A140" s="23">
        <v>2008</v>
      </c>
      <c r="B140" s="24" t="s">
        <v>14</v>
      </c>
      <c r="C140" s="24" t="s">
        <v>22</v>
      </c>
      <c r="D140" s="24" t="s">
        <v>25</v>
      </c>
      <c r="E140" s="25">
        <v>4859</v>
      </c>
      <c r="F140" s="24">
        <v>4682</v>
      </c>
      <c r="G140" s="26">
        <f t="shared" si="4"/>
        <v>-3.6427248405021609E-2</v>
      </c>
      <c r="H140" s="25">
        <v>93807</v>
      </c>
      <c r="I140" s="27">
        <v>86994</v>
      </c>
      <c r="J140" s="28">
        <f t="shared" si="5"/>
        <v>-7.2627842271898682E-2</v>
      </c>
      <c r="K140" s="29">
        <v>4.54</v>
      </c>
      <c r="L140" s="24">
        <v>1.01</v>
      </c>
      <c r="M140" s="27">
        <v>211</v>
      </c>
      <c r="N140" s="25">
        <v>182</v>
      </c>
    </row>
    <row r="141" spans="1:14" x14ac:dyDescent="0.25">
      <c r="A141" s="16">
        <v>2008</v>
      </c>
      <c r="B141" s="17" t="s">
        <v>19</v>
      </c>
      <c r="C141" s="17" t="s">
        <v>18</v>
      </c>
      <c r="D141" s="17" t="s">
        <v>21</v>
      </c>
      <c r="E141" s="18">
        <v>4153</v>
      </c>
      <c r="F141" s="17">
        <v>3711</v>
      </c>
      <c r="G141" s="19">
        <f t="shared" si="4"/>
        <v>-0.10642908740669396</v>
      </c>
      <c r="H141" s="18">
        <v>47394</v>
      </c>
      <c r="I141" s="20">
        <v>45503</v>
      </c>
      <c r="J141" s="21">
        <f t="shared" si="5"/>
        <v>-3.9899565345824367E-2</v>
      </c>
      <c r="K141" s="22">
        <v>5.29</v>
      </c>
      <c r="L141" s="17">
        <v>-3.93</v>
      </c>
      <c r="M141" s="20">
        <v>47</v>
      </c>
      <c r="N141" s="18">
        <v>175</v>
      </c>
    </row>
    <row r="142" spans="1:14" x14ac:dyDescent="0.25">
      <c r="A142" s="23">
        <v>2020</v>
      </c>
      <c r="B142" s="24" t="s">
        <v>17</v>
      </c>
      <c r="C142" s="24" t="s">
        <v>20</v>
      </c>
      <c r="D142" s="24" t="s">
        <v>25</v>
      </c>
      <c r="E142" s="25">
        <v>4625</v>
      </c>
      <c r="F142" s="24">
        <v>4213</v>
      </c>
      <c r="G142" s="26">
        <f t="shared" si="4"/>
        <v>-8.9081081081081079E-2</v>
      </c>
      <c r="H142" s="25">
        <v>51998</v>
      </c>
      <c r="I142" s="27">
        <v>47419</v>
      </c>
      <c r="J142" s="28">
        <f t="shared" si="5"/>
        <v>-8.8061079272279699E-2</v>
      </c>
      <c r="K142" s="29">
        <v>4.0599999999999996</v>
      </c>
      <c r="L142" s="24">
        <v>-4.8099999999999996</v>
      </c>
      <c r="M142" s="27">
        <v>291</v>
      </c>
      <c r="N142" s="25">
        <v>49</v>
      </c>
    </row>
    <row r="143" spans="1:14" x14ac:dyDescent="0.25">
      <c r="A143" s="16">
        <v>2008</v>
      </c>
      <c r="B143" s="17" t="s">
        <v>19</v>
      </c>
      <c r="C143" s="17" t="s">
        <v>15</v>
      </c>
      <c r="D143" s="17" t="s">
        <v>16</v>
      </c>
      <c r="E143" s="18">
        <v>821</v>
      </c>
      <c r="F143" s="17">
        <v>394</v>
      </c>
      <c r="G143" s="19">
        <f t="shared" si="4"/>
        <v>-0.52009744214372711</v>
      </c>
      <c r="H143" s="18">
        <v>64148</v>
      </c>
      <c r="I143" s="20">
        <v>56880</v>
      </c>
      <c r="J143" s="21">
        <f t="shared" si="5"/>
        <v>-0.11330049261083744</v>
      </c>
      <c r="K143" s="22">
        <v>6.54</v>
      </c>
      <c r="L143" s="17">
        <v>-2.66</v>
      </c>
      <c r="M143" s="20">
        <v>108</v>
      </c>
      <c r="N143" s="18">
        <v>115</v>
      </c>
    </row>
    <row r="144" spans="1:14" x14ac:dyDescent="0.25">
      <c r="A144" s="23">
        <v>2021</v>
      </c>
      <c r="B144" s="24" t="s">
        <v>17</v>
      </c>
      <c r="C144" s="24" t="s">
        <v>22</v>
      </c>
      <c r="D144" s="24" t="s">
        <v>21</v>
      </c>
      <c r="E144" s="25">
        <v>4233</v>
      </c>
      <c r="F144" s="24">
        <v>4022</v>
      </c>
      <c r="G144" s="26">
        <f t="shared" si="4"/>
        <v>-4.9846444601937163E-2</v>
      </c>
      <c r="H144" s="25">
        <v>53520</v>
      </c>
      <c r="I144" s="27">
        <v>45637</v>
      </c>
      <c r="J144" s="28">
        <f t="shared" si="5"/>
        <v>-0.14729073243647234</v>
      </c>
      <c r="K144" s="29">
        <v>10.58</v>
      </c>
      <c r="L144" s="24">
        <v>-3.01</v>
      </c>
      <c r="M144" s="27">
        <v>39</v>
      </c>
      <c r="N144" s="25">
        <v>163</v>
      </c>
    </row>
    <row r="145" spans="1:14" x14ac:dyDescent="0.25">
      <c r="A145" s="16">
        <v>2009</v>
      </c>
      <c r="B145" s="17" t="s">
        <v>14</v>
      </c>
      <c r="C145" s="17" t="s">
        <v>24</v>
      </c>
      <c r="D145" s="17" t="s">
        <v>25</v>
      </c>
      <c r="E145" s="18">
        <v>3852</v>
      </c>
      <c r="F145" s="17">
        <v>3513</v>
      </c>
      <c r="G145" s="19">
        <f t="shared" si="4"/>
        <v>-8.8006230529595011E-2</v>
      </c>
      <c r="H145" s="18">
        <v>90776</v>
      </c>
      <c r="I145" s="20">
        <v>89558</v>
      </c>
      <c r="J145" s="21">
        <f t="shared" si="5"/>
        <v>-1.3417643429981493E-2</v>
      </c>
      <c r="K145" s="22">
        <v>9.07</v>
      </c>
      <c r="L145" s="17">
        <v>-2.2999999999999998</v>
      </c>
      <c r="M145" s="20">
        <v>283</v>
      </c>
      <c r="N145" s="18">
        <v>50</v>
      </c>
    </row>
    <row r="146" spans="1:14" x14ac:dyDescent="0.25">
      <c r="A146" s="23">
        <v>2009</v>
      </c>
      <c r="B146" s="24" t="s">
        <v>19</v>
      </c>
      <c r="C146" s="24" t="s">
        <v>22</v>
      </c>
      <c r="D146" s="24" t="s">
        <v>21</v>
      </c>
      <c r="E146" s="25">
        <v>3150</v>
      </c>
      <c r="F146" s="24">
        <v>2971</v>
      </c>
      <c r="G146" s="26">
        <f t="shared" si="4"/>
        <v>-5.6825396825396828E-2</v>
      </c>
      <c r="H146" s="25">
        <v>96640</v>
      </c>
      <c r="I146" s="27">
        <v>94237</v>
      </c>
      <c r="J146" s="28">
        <f t="shared" si="5"/>
        <v>-2.4865480132450331E-2</v>
      </c>
      <c r="K146" s="29">
        <v>10.220000000000001</v>
      </c>
      <c r="L146" s="24">
        <v>-3.13</v>
      </c>
      <c r="M146" s="27">
        <v>86</v>
      </c>
      <c r="N146" s="25">
        <v>145</v>
      </c>
    </row>
    <row r="147" spans="1:14" x14ac:dyDescent="0.25">
      <c r="A147" s="16">
        <v>2021</v>
      </c>
      <c r="B147" s="17" t="s">
        <v>23</v>
      </c>
      <c r="C147" s="17" t="s">
        <v>22</v>
      </c>
      <c r="D147" s="17" t="s">
        <v>16</v>
      </c>
      <c r="E147" s="18">
        <v>3685</v>
      </c>
      <c r="F147" s="17">
        <v>3269</v>
      </c>
      <c r="G147" s="19">
        <f t="shared" si="4"/>
        <v>-0.11289009497964722</v>
      </c>
      <c r="H147" s="18">
        <v>55944</v>
      </c>
      <c r="I147" s="20">
        <v>54899</v>
      </c>
      <c r="J147" s="21">
        <f t="shared" si="5"/>
        <v>-1.8679393679393679E-2</v>
      </c>
      <c r="K147" s="22">
        <v>10.77</v>
      </c>
      <c r="L147" s="17">
        <v>-4.57</v>
      </c>
      <c r="M147" s="20">
        <v>29</v>
      </c>
      <c r="N147" s="18">
        <v>179</v>
      </c>
    </row>
    <row r="148" spans="1:14" x14ac:dyDescent="0.25">
      <c r="A148" s="23">
        <v>2008</v>
      </c>
      <c r="B148" s="24" t="s">
        <v>17</v>
      </c>
      <c r="C148" s="24" t="s">
        <v>20</v>
      </c>
      <c r="D148" s="24" t="s">
        <v>16</v>
      </c>
      <c r="E148" s="25">
        <v>4864</v>
      </c>
      <c r="F148" s="24">
        <v>4412</v>
      </c>
      <c r="G148" s="26">
        <f t="shared" si="4"/>
        <v>-9.2927631578947373E-2</v>
      </c>
      <c r="H148" s="25">
        <v>74822</v>
      </c>
      <c r="I148" s="27">
        <v>68715</v>
      </c>
      <c r="J148" s="28">
        <f t="shared" si="5"/>
        <v>-8.1620379032904755E-2</v>
      </c>
      <c r="K148" s="29">
        <v>11.72</v>
      </c>
      <c r="L148" s="24">
        <v>1.94</v>
      </c>
      <c r="M148" s="27">
        <v>83</v>
      </c>
      <c r="N148" s="25">
        <v>123</v>
      </c>
    </row>
    <row r="149" spans="1:14" x14ac:dyDescent="0.25">
      <c r="A149" s="16">
        <v>2021</v>
      </c>
      <c r="B149" s="17" t="s">
        <v>14</v>
      </c>
      <c r="C149" s="17" t="s">
        <v>18</v>
      </c>
      <c r="D149" s="17" t="s">
        <v>21</v>
      </c>
      <c r="E149" s="18">
        <v>4428</v>
      </c>
      <c r="F149" s="17">
        <v>4372</v>
      </c>
      <c r="G149" s="19">
        <f t="shared" si="4"/>
        <v>-1.2646793134598013E-2</v>
      </c>
      <c r="H149" s="18">
        <v>85648</v>
      </c>
      <c r="I149" s="20">
        <v>80089</v>
      </c>
      <c r="J149" s="21">
        <f t="shared" si="5"/>
        <v>-6.4905193349523632E-2</v>
      </c>
      <c r="K149" s="22">
        <v>6.5</v>
      </c>
      <c r="L149" s="17">
        <v>1.39</v>
      </c>
      <c r="M149" s="20">
        <v>300</v>
      </c>
      <c r="N149" s="18">
        <v>8</v>
      </c>
    </row>
    <row r="150" spans="1:14" x14ac:dyDescent="0.25">
      <c r="A150" s="23">
        <v>2009</v>
      </c>
      <c r="B150" s="24" t="s">
        <v>14</v>
      </c>
      <c r="C150" s="24" t="s">
        <v>24</v>
      </c>
      <c r="D150" s="24" t="s">
        <v>16</v>
      </c>
      <c r="E150" s="25">
        <v>1722</v>
      </c>
      <c r="F150" s="24">
        <v>1541</v>
      </c>
      <c r="G150" s="26">
        <f t="shared" si="4"/>
        <v>-0.10511033681765389</v>
      </c>
      <c r="H150" s="25">
        <v>95940</v>
      </c>
      <c r="I150" s="27">
        <v>90316</v>
      </c>
      <c r="J150" s="28">
        <f t="shared" si="5"/>
        <v>-5.8619970815092765E-2</v>
      </c>
      <c r="K150" s="29">
        <v>4.43</v>
      </c>
      <c r="L150" s="24">
        <v>-3.68</v>
      </c>
      <c r="M150" s="27">
        <v>14</v>
      </c>
      <c r="N150" s="25">
        <v>13</v>
      </c>
    </row>
    <row r="151" spans="1:14" x14ac:dyDescent="0.25">
      <c r="A151" s="16">
        <v>2020</v>
      </c>
      <c r="B151" s="17" t="s">
        <v>17</v>
      </c>
      <c r="C151" s="17" t="s">
        <v>22</v>
      </c>
      <c r="D151" s="17" t="s">
        <v>25</v>
      </c>
      <c r="E151" s="18">
        <v>2773</v>
      </c>
      <c r="F151" s="17">
        <v>2672</v>
      </c>
      <c r="G151" s="19">
        <f t="shared" si="4"/>
        <v>-3.6422646952758743E-2</v>
      </c>
      <c r="H151" s="18">
        <v>43694</v>
      </c>
      <c r="I151" s="20">
        <v>37238</v>
      </c>
      <c r="J151" s="21">
        <f t="shared" si="5"/>
        <v>-0.14775484048153065</v>
      </c>
      <c r="K151" s="22">
        <v>8.2799999999999994</v>
      </c>
      <c r="L151" s="17">
        <v>-3.54</v>
      </c>
      <c r="M151" s="20">
        <v>297</v>
      </c>
      <c r="N151" s="18">
        <v>77</v>
      </c>
    </row>
    <row r="152" spans="1:14" x14ac:dyDescent="0.25">
      <c r="A152" s="23">
        <v>2020</v>
      </c>
      <c r="B152" s="24" t="s">
        <v>17</v>
      </c>
      <c r="C152" s="24" t="s">
        <v>15</v>
      </c>
      <c r="D152" s="24" t="s">
        <v>21</v>
      </c>
      <c r="E152" s="25">
        <v>3150</v>
      </c>
      <c r="F152" s="24">
        <v>2761</v>
      </c>
      <c r="G152" s="26">
        <f t="shared" si="4"/>
        <v>-0.12349206349206349</v>
      </c>
      <c r="H152" s="25">
        <v>92396</v>
      </c>
      <c r="I152" s="27">
        <v>87398</v>
      </c>
      <c r="J152" s="28">
        <f t="shared" si="5"/>
        <v>-5.4093250790077492E-2</v>
      </c>
      <c r="K152" s="29">
        <v>4.96</v>
      </c>
      <c r="L152" s="24">
        <v>-0.76</v>
      </c>
      <c r="M152" s="27">
        <v>48</v>
      </c>
      <c r="N152" s="25">
        <v>20</v>
      </c>
    </row>
    <row r="153" spans="1:14" x14ac:dyDescent="0.25">
      <c r="A153" s="16">
        <v>2009</v>
      </c>
      <c r="B153" s="17" t="s">
        <v>14</v>
      </c>
      <c r="C153" s="17" t="s">
        <v>15</v>
      </c>
      <c r="D153" s="17" t="s">
        <v>25</v>
      </c>
      <c r="E153" s="18">
        <v>4898</v>
      </c>
      <c r="F153" s="17">
        <v>4747</v>
      </c>
      <c r="G153" s="19">
        <f t="shared" si="4"/>
        <v>-3.0828909759085341E-2</v>
      </c>
      <c r="H153" s="18">
        <v>73884</v>
      </c>
      <c r="I153" s="20">
        <v>66094</v>
      </c>
      <c r="J153" s="21">
        <f t="shared" si="5"/>
        <v>-0.10543554761518055</v>
      </c>
      <c r="K153" s="22">
        <v>11.87</v>
      </c>
      <c r="L153" s="17">
        <v>-1.1499999999999999</v>
      </c>
      <c r="M153" s="20">
        <v>281</v>
      </c>
      <c r="N153" s="18">
        <v>121</v>
      </c>
    </row>
    <row r="154" spans="1:14" x14ac:dyDescent="0.25">
      <c r="A154" s="23">
        <v>2009</v>
      </c>
      <c r="B154" s="24" t="s">
        <v>19</v>
      </c>
      <c r="C154" s="24" t="s">
        <v>22</v>
      </c>
      <c r="D154" s="24" t="s">
        <v>21</v>
      </c>
      <c r="E154" s="25">
        <v>2002</v>
      </c>
      <c r="F154" s="24">
        <v>1651</v>
      </c>
      <c r="G154" s="26">
        <f t="shared" si="4"/>
        <v>-0.17532467532467533</v>
      </c>
      <c r="H154" s="25">
        <v>93796</v>
      </c>
      <c r="I154" s="27">
        <v>84839</v>
      </c>
      <c r="J154" s="28">
        <f t="shared" si="5"/>
        <v>-9.5494477376433962E-2</v>
      </c>
      <c r="K154" s="29">
        <v>8.34</v>
      </c>
      <c r="L154" s="24">
        <v>-3.78</v>
      </c>
      <c r="M154" s="27">
        <v>225</v>
      </c>
      <c r="N154" s="25">
        <v>94</v>
      </c>
    </row>
    <row r="155" spans="1:14" x14ac:dyDescent="0.25">
      <c r="A155" s="16">
        <v>2021</v>
      </c>
      <c r="B155" s="17" t="s">
        <v>14</v>
      </c>
      <c r="C155" s="17" t="s">
        <v>22</v>
      </c>
      <c r="D155" s="17" t="s">
        <v>25</v>
      </c>
      <c r="E155" s="18">
        <v>3594</v>
      </c>
      <c r="F155" s="17">
        <v>3394</v>
      </c>
      <c r="G155" s="19">
        <f t="shared" si="4"/>
        <v>-5.5648302726766831E-2</v>
      </c>
      <c r="H155" s="18">
        <v>58489</v>
      </c>
      <c r="I155" s="20">
        <v>48584</v>
      </c>
      <c r="J155" s="21">
        <f t="shared" si="5"/>
        <v>-0.1693480825454359</v>
      </c>
      <c r="K155" s="22">
        <v>11.97</v>
      </c>
      <c r="L155" s="17">
        <v>-2.44</v>
      </c>
      <c r="M155" s="20">
        <v>236</v>
      </c>
      <c r="N155" s="18">
        <v>19</v>
      </c>
    </row>
    <row r="156" spans="1:14" x14ac:dyDescent="0.25">
      <c r="A156" s="23">
        <v>2008</v>
      </c>
      <c r="B156" s="24" t="s">
        <v>14</v>
      </c>
      <c r="C156" s="24" t="s">
        <v>15</v>
      </c>
      <c r="D156" s="24" t="s">
        <v>21</v>
      </c>
      <c r="E156" s="25">
        <v>4774</v>
      </c>
      <c r="F156" s="24">
        <v>4426</v>
      </c>
      <c r="G156" s="26">
        <f t="shared" si="4"/>
        <v>-7.289484708839547E-2</v>
      </c>
      <c r="H156" s="25">
        <v>92478</v>
      </c>
      <c r="I156" s="27">
        <v>90162</v>
      </c>
      <c r="J156" s="28">
        <f t="shared" si="5"/>
        <v>-2.5043794199701552E-2</v>
      </c>
      <c r="K156" s="29">
        <v>4.01</v>
      </c>
      <c r="L156" s="24">
        <v>-0.79</v>
      </c>
      <c r="M156" s="27">
        <v>113</v>
      </c>
      <c r="N156" s="25">
        <v>154</v>
      </c>
    </row>
    <row r="157" spans="1:14" x14ac:dyDescent="0.25">
      <c r="A157" s="16">
        <v>2008</v>
      </c>
      <c r="B157" s="17" t="s">
        <v>17</v>
      </c>
      <c r="C157" s="17" t="s">
        <v>15</v>
      </c>
      <c r="D157" s="17" t="s">
        <v>25</v>
      </c>
      <c r="E157" s="18">
        <v>3166</v>
      </c>
      <c r="F157" s="17">
        <v>2800</v>
      </c>
      <c r="G157" s="19">
        <f t="shared" si="4"/>
        <v>-0.11560328490208464</v>
      </c>
      <c r="H157" s="18">
        <v>63541</v>
      </c>
      <c r="I157" s="20">
        <v>53645</v>
      </c>
      <c r="J157" s="21">
        <f t="shared" si="5"/>
        <v>-0.15574196188287878</v>
      </c>
      <c r="K157" s="22">
        <v>7.7</v>
      </c>
      <c r="L157" s="17">
        <v>-3.05</v>
      </c>
      <c r="M157" s="20">
        <v>156</v>
      </c>
      <c r="N157" s="18">
        <v>194</v>
      </c>
    </row>
    <row r="158" spans="1:14" x14ac:dyDescent="0.25">
      <c r="A158" s="23">
        <v>2021</v>
      </c>
      <c r="B158" s="24" t="s">
        <v>17</v>
      </c>
      <c r="C158" s="24" t="s">
        <v>18</v>
      </c>
      <c r="D158" s="24" t="s">
        <v>21</v>
      </c>
      <c r="E158" s="25">
        <v>4575</v>
      </c>
      <c r="F158" s="24">
        <v>4502</v>
      </c>
      <c r="G158" s="26">
        <f t="shared" si="4"/>
        <v>-1.5956284153005464E-2</v>
      </c>
      <c r="H158" s="25">
        <v>65475</v>
      </c>
      <c r="I158" s="27">
        <v>60714</v>
      </c>
      <c r="J158" s="28">
        <f t="shared" si="5"/>
        <v>-7.27147766323024E-2</v>
      </c>
      <c r="K158" s="29">
        <v>10.6</v>
      </c>
      <c r="L158" s="24">
        <v>2.71</v>
      </c>
      <c r="M158" s="27">
        <v>217</v>
      </c>
      <c r="N158" s="25">
        <v>126</v>
      </c>
    </row>
    <row r="159" spans="1:14" x14ac:dyDescent="0.25">
      <c r="A159" s="16">
        <v>2021</v>
      </c>
      <c r="B159" s="17" t="s">
        <v>14</v>
      </c>
      <c r="C159" s="17" t="s">
        <v>24</v>
      </c>
      <c r="D159" s="17" t="s">
        <v>21</v>
      </c>
      <c r="E159" s="18">
        <v>2404</v>
      </c>
      <c r="F159" s="17">
        <v>2111</v>
      </c>
      <c r="G159" s="19">
        <f t="shared" si="4"/>
        <v>-0.1218801996672213</v>
      </c>
      <c r="H159" s="18">
        <v>71345</v>
      </c>
      <c r="I159" s="20">
        <v>68661</v>
      </c>
      <c r="J159" s="21">
        <f t="shared" si="5"/>
        <v>-3.7620015418039103E-2</v>
      </c>
      <c r="K159" s="22">
        <v>8.14</v>
      </c>
      <c r="L159" s="17">
        <v>-1.69</v>
      </c>
      <c r="M159" s="20">
        <v>133</v>
      </c>
      <c r="N159" s="18">
        <v>134</v>
      </c>
    </row>
    <row r="160" spans="1:14" x14ac:dyDescent="0.25">
      <c r="A160" s="23">
        <v>2021</v>
      </c>
      <c r="B160" s="24" t="s">
        <v>17</v>
      </c>
      <c r="C160" s="24" t="s">
        <v>22</v>
      </c>
      <c r="D160" s="24" t="s">
        <v>25</v>
      </c>
      <c r="E160" s="25">
        <v>2480</v>
      </c>
      <c r="F160" s="24">
        <v>2255</v>
      </c>
      <c r="G160" s="26">
        <f t="shared" si="4"/>
        <v>-9.0725806451612906E-2</v>
      </c>
      <c r="H160" s="25">
        <v>59788</v>
      </c>
      <c r="I160" s="27">
        <v>56736</v>
      </c>
      <c r="J160" s="28">
        <f t="shared" si="5"/>
        <v>-5.1047032849401215E-2</v>
      </c>
      <c r="K160" s="29">
        <v>5.56</v>
      </c>
      <c r="L160" s="24">
        <v>-4.66</v>
      </c>
      <c r="M160" s="27">
        <v>211</v>
      </c>
      <c r="N160" s="25">
        <v>195</v>
      </c>
    </row>
    <row r="161" spans="1:14" x14ac:dyDescent="0.25">
      <c r="A161" s="16">
        <v>2021</v>
      </c>
      <c r="B161" s="17" t="s">
        <v>17</v>
      </c>
      <c r="C161" s="17" t="s">
        <v>22</v>
      </c>
      <c r="D161" s="17" t="s">
        <v>21</v>
      </c>
      <c r="E161" s="18">
        <v>3411</v>
      </c>
      <c r="F161" s="17">
        <v>3107</v>
      </c>
      <c r="G161" s="19">
        <f t="shared" si="4"/>
        <v>-8.9123424215772504E-2</v>
      </c>
      <c r="H161" s="18">
        <v>88646</v>
      </c>
      <c r="I161" s="20">
        <v>86921</v>
      </c>
      <c r="J161" s="21">
        <f t="shared" si="5"/>
        <v>-1.9459422873000475E-2</v>
      </c>
      <c r="K161" s="22">
        <v>10.61</v>
      </c>
      <c r="L161" s="17">
        <v>-3.26</v>
      </c>
      <c r="M161" s="20">
        <v>112</v>
      </c>
      <c r="N161" s="18">
        <v>200</v>
      </c>
    </row>
    <row r="162" spans="1:14" x14ac:dyDescent="0.25">
      <c r="A162" s="23">
        <v>2020</v>
      </c>
      <c r="B162" s="24" t="s">
        <v>19</v>
      </c>
      <c r="C162" s="24" t="s">
        <v>20</v>
      </c>
      <c r="D162" s="24" t="s">
        <v>16</v>
      </c>
      <c r="E162" s="25">
        <v>3104</v>
      </c>
      <c r="F162" s="24">
        <v>2779</v>
      </c>
      <c r="G162" s="26">
        <f t="shared" si="4"/>
        <v>-0.10470360824742268</v>
      </c>
      <c r="H162" s="25">
        <v>30382</v>
      </c>
      <c r="I162" s="27">
        <v>25538</v>
      </c>
      <c r="J162" s="28">
        <f t="shared" si="5"/>
        <v>-0.15943650845895596</v>
      </c>
      <c r="K162" s="29">
        <v>11.56</v>
      </c>
      <c r="L162" s="24">
        <v>2.92</v>
      </c>
      <c r="M162" s="27">
        <v>191</v>
      </c>
      <c r="N162" s="25">
        <v>175</v>
      </c>
    </row>
    <row r="163" spans="1:14" x14ac:dyDescent="0.25">
      <c r="A163" s="16">
        <v>2021</v>
      </c>
      <c r="B163" s="17" t="s">
        <v>17</v>
      </c>
      <c r="C163" s="17" t="s">
        <v>22</v>
      </c>
      <c r="D163" s="17" t="s">
        <v>21</v>
      </c>
      <c r="E163" s="18">
        <v>929</v>
      </c>
      <c r="F163" s="17">
        <v>492</v>
      </c>
      <c r="G163" s="19">
        <f t="shared" si="4"/>
        <v>-0.47039827771797632</v>
      </c>
      <c r="H163" s="18">
        <v>96344</v>
      </c>
      <c r="I163" s="20">
        <v>90939</v>
      </c>
      <c r="J163" s="21">
        <f t="shared" si="5"/>
        <v>-5.6101054554512995E-2</v>
      </c>
      <c r="K163" s="22">
        <v>8.01</v>
      </c>
      <c r="L163" s="17">
        <v>-4.5999999999999996</v>
      </c>
      <c r="M163" s="20">
        <v>286</v>
      </c>
      <c r="N163" s="18">
        <v>196</v>
      </c>
    </row>
    <row r="164" spans="1:14" x14ac:dyDescent="0.25">
      <c r="A164" s="23">
        <v>2008</v>
      </c>
      <c r="B164" s="24" t="s">
        <v>14</v>
      </c>
      <c r="C164" s="24" t="s">
        <v>18</v>
      </c>
      <c r="D164" s="24" t="s">
        <v>21</v>
      </c>
      <c r="E164" s="25">
        <v>1623</v>
      </c>
      <c r="F164" s="24">
        <v>1486</v>
      </c>
      <c r="G164" s="26">
        <f t="shared" si="4"/>
        <v>-8.4411583487369074E-2</v>
      </c>
      <c r="H164" s="25">
        <v>88661</v>
      </c>
      <c r="I164" s="27">
        <v>80390</v>
      </c>
      <c r="J164" s="28">
        <f t="shared" si="5"/>
        <v>-9.3287916896944545E-2</v>
      </c>
      <c r="K164" s="29">
        <v>9.82</v>
      </c>
      <c r="L164" s="24">
        <v>-2.78</v>
      </c>
      <c r="M164" s="27">
        <v>259</v>
      </c>
      <c r="N164" s="25">
        <v>193</v>
      </c>
    </row>
    <row r="165" spans="1:14" x14ac:dyDescent="0.25">
      <c r="A165" s="16">
        <v>2021</v>
      </c>
      <c r="B165" s="17" t="s">
        <v>14</v>
      </c>
      <c r="C165" s="17" t="s">
        <v>18</v>
      </c>
      <c r="D165" s="17" t="s">
        <v>25</v>
      </c>
      <c r="E165" s="18">
        <v>2517</v>
      </c>
      <c r="F165" s="17">
        <v>2383</v>
      </c>
      <c r="G165" s="19">
        <f t="shared" si="4"/>
        <v>-5.3237981724274928E-2</v>
      </c>
      <c r="H165" s="18">
        <v>70262</v>
      </c>
      <c r="I165" s="20">
        <v>63774</v>
      </c>
      <c r="J165" s="21">
        <f t="shared" si="5"/>
        <v>-9.2340098488514419E-2</v>
      </c>
      <c r="K165" s="22">
        <v>6.74</v>
      </c>
      <c r="L165" s="17">
        <v>-2.38</v>
      </c>
      <c r="M165" s="20">
        <v>112</v>
      </c>
      <c r="N165" s="18">
        <v>31</v>
      </c>
    </row>
    <row r="166" spans="1:14" x14ac:dyDescent="0.25">
      <c r="A166" s="23">
        <v>2009</v>
      </c>
      <c r="B166" s="24" t="s">
        <v>14</v>
      </c>
      <c r="C166" s="24" t="s">
        <v>20</v>
      </c>
      <c r="D166" s="24" t="s">
        <v>16</v>
      </c>
      <c r="E166" s="25">
        <v>4559</v>
      </c>
      <c r="F166" s="24">
        <v>4338</v>
      </c>
      <c r="G166" s="26">
        <f t="shared" si="4"/>
        <v>-4.8475542882211009E-2</v>
      </c>
      <c r="H166" s="25">
        <v>42939</v>
      </c>
      <c r="I166" s="27">
        <v>40539</v>
      </c>
      <c r="J166" s="28">
        <f t="shared" si="5"/>
        <v>-5.5893243904143089E-2</v>
      </c>
      <c r="K166" s="29">
        <v>5.41</v>
      </c>
      <c r="L166" s="24">
        <v>1.45</v>
      </c>
      <c r="M166" s="27">
        <v>53</v>
      </c>
      <c r="N166" s="25">
        <v>161</v>
      </c>
    </row>
    <row r="167" spans="1:14" x14ac:dyDescent="0.25">
      <c r="A167" s="16">
        <v>2008</v>
      </c>
      <c r="B167" s="17" t="s">
        <v>14</v>
      </c>
      <c r="C167" s="17" t="s">
        <v>18</v>
      </c>
      <c r="D167" s="17" t="s">
        <v>16</v>
      </c>
      <c r="E167" s="18">
        <v>904</v>
      </c>
      <c r="F167" s="17">
        <v>475</v>
      </c>
      <c r="G167" s="19">
        <f t="shared" si="4"/>
        <v>-0.47455752212389379</v>
      </c>
      <c r="H167" s="18">
        <v>76779</v>
      </c>
      <c r="I167" s="20">
        <v>72133</v>
      </c>
      <c r="J167" s="21">
        <f t="shared" si="5"/>
        <v>-6.0511337735578742E-2</v>
      </c>
      <c r="K167" s="22">
        <v>7.92</v>
      </c>
      <c r="L167" s="17">
        <v>-0.03</v>
      </c>
      <c r="M167" s="20">
        <v>174</v>
      </c>
      <c r="N167" s="18">
        <v>142</v>
      </c>
    </row>
    <row r="168" spans="1:14" x14ac:dyDescent="0.25">
      <c r="A168" s="23">
        <v>2020</v>
      </c>
      <c r="B168" s="24" t="s">
        <v>17</v>
      </c>
      <c r="C168" s="24" t="s">
        <v>22</v>
      </c>
      <c r="D168" s="24" t="s">
        <v>21</v>
      </c>
      <c r="E168" s="25">
        <v>3312</v>
      </c>
      <c r="F168" s="24">
        <v>2826</v>
      </c>
      <c r="G168" s="26">
        <f t="shared" si="4"/>
        <v>-0.14673913043478262</v>
      </c>
      <c r="H168" s="25">
        <v>76950</v>
      </c>
      <c r="I168" s="27">
        <v>69733</v>
      </c>
      <c r="J168" s="28">
        <f t="shared" si="5"/>
        <v>-9.3788174139051328E-2</v>
      </c>
      <c r="K168" s="29">
        <v>7.34</v>
      </c>
      <c r="L168" s="24">
        <v>-2.67</v>
      </c>
      <c r="M168" s="27">
        <v>144</v>
      </c>
      <c r="N168" s="25">
        <v>9</v>
      </c>
    </row>
    <row r="169" spans="1:14" x14ac:dyDescent="0.25">
      <c r="A169" s="16">
        <v>2021</v>
      </c>
      <c r="B169" s="17" t="s">
        <v>19</v>
      </c>
      <c r="C169" s="17" t="s">
        <v>24</v>
      </c>
      <c r="D169" s="17" t="s">
        <v>25</v>
      </c>
      <c r="E169" s="18">
        <v>3978</v>
      </c>
      <c r="F169" s="17">
        <v>3757</v>
      </c>
      <c r="G169" s="19">
        <f t="shared" si="4"/>
        <v>-5.5555555555555552E-2</v>
      </c>
      <c r="H169" s="18">
        <v>83007</v>
      </c>
      <c r="I169" s="20">
        <v>76176</v>
      </c>
      <c r="J169" s="21">
        <f t="shared" si="5"/>
        <v>-8.2294264339152115E-2</v>
      </c>
      <c r="K169" s="22">
        <v>7.05</v>
      </c>
      <c r="L169" s="17">
        <v>-2.16</v>
      </c>
      <c r="M169" s="20">
        <v>295</v>
      </c>
      <c r="N169" s="18">
        <v>163</v>
      </c>
    </row>
    <row r="170" spans="1:14" x14ac:dyDescent="0.25">
      <c r="A170" s="23">
        <v>2020</v>
      </c>
      <c r="B170" s="24" t="s">
        <v>19</v>
      </c>
      <c r="C170" s="24" t="s">
        <v>20</v>
      </c>
      <c r="D170" s="24" t="s">
        <v>16</v>
      </c>
      <c r="E170" s="25">
        <v>4147</v>
      </c>
      <c r="F170" s="24">
        <v>3806</v>
      </c>
      <c r="G170" s="26">
        <f t="shared" si="4"/>
        <v>-8.2228116710875335E-2</v>
      </c>
      <c r="H170" s="25">
        <v>88879</v>
      </c>
      <c r="I170" s="27">
        <v>84361</v>
      </c>
      <c r="J170" s="28">
        <f t="shared" si="5"/>
        <v>-5.0833155188514723E-2</v>
      </c>
      <c r="K170" s="29">
        <v>6.51</v>
      </c>
      <c r="L170" s="24">
        <v>2.15</v>
      </c>
      <c r="M170" s="27">
        <v>100</v>
      </c>
      <c r="N170" s="25">
        <v>41</v>
      </c>
    </row>
    <row r="171" spans="1:14" x14ac:dyDescent="0.25">
      <c r="A171" s="16">
        <v>2020</v>
      </c>
      <c r="B171" s="17" t="s">
        <v>14</v>
      </c>
      <c r="C171" s="17" t="s">
        <v>20</v>
      </c>
      <c r="D171" s="17" t="s">
        <v>25</v>
      </c>
      <c r="E171" s="18">
        <v>2485</v>
      </c>
      <c r="F171" s="17">
        <v>2025</v>
      </c>
      <c r="G171" s="19">
        <f t="shared" si="4"/>
        <v>-0.18511066398390341</v>
      </c>
      <c r="H171" s="18">
        <v>89682</v>
      </c>
      <c r="I171" s="20">
        <v>87687</v>
      </c>
      <c r="J171" s="21">
        <f t="shared" si="5"/>
        <v>-2.2245266608684016E-2</v>
      </c>
      <c r="K171" s="22">
        <v>10.34</v>
      </c>
      <c r="L171" s="17">
        <v>2.79</v>
      </c>
      <c r="M171" s="20">
        <v>164</v>
      </c>
      <c r="N171" s="18">
        <v>106</v>
      </c>
    </row>
    <row r="172" spans="1:14" x14ac:dyDescent="0.25">
      <c r="A172" s="23">
        <v>2009</v>
      </c>
      <c r="B172" s="24" t="s">
        <v>17</v>
      </c>
      <c r="C172" s="24" t="s">
        <v>20</v>
      </c>
      <c r="D172" s="24" t="s">
        <v>16</v>
      </c>
      <c r="E172" s="25">
        <v>1394</v>
      </c>
      <c r="F172" s="24">
        <v>1180</v>
      </c>
      <c r="G172" s="26">
        <f t="shared" si="4"/>
        <v>-0.15351506456241032</v>
      </c>
      <c r="H172" s="25">
        <v>94544</v>
      </c>
      <c r="I172" s="27">
        <v>91586</v>
      </c>
      <c r="J172" s="28">
        <f t="shared" si="5"/>
        <v>-3.128701980030462E-2</v>
      </c>
      <c r="K172" s="29">
        <v>6.62</v>
      </c>
      <c r="L172" s="24">
        <v>-2.2400000000000002</v>
      </c>
      <c r="M172" s="27">
        <v>18</v>
      </c>
      <c r="N172" s="25">
        <v>107</v>
      </c>
    </row>
    <row r="173" spans="1:14" x14ac:dyDescent="0.25">
      <c r="A173" s="16">
        <v>2008</v>
      </c>
      <c r="B173" s="17" t="s">
        <v>19</v>
      </c>
      <c r="C173" s="17" t="s">
        <v>18</v>
      </c>
      <c r="D173" s="17" t="s">
        <v>21</v>
      </c>
      <c r="E173" s="18">
        <v>3458</v>
      </c>
      <c r="F173" s="17">
        <v>2998</v>
      </c>
      <c r="G173" s="19">
        <f t="shared" si="4"/>
        <v>-0.13302486986697512</v>
      </c>
      <c r="H173" s="18">
        <v>31421</v>
      </c>
      <c r="I173" s="20">
        <v>24086</v>
      </c>
      <c r="J173" s="21">
        <f t="shared" si="5"/>
        <v>-0.23344260208141052</v>
      </c>
      <c r="K173" s="22">
        <v>9.6</v>
      </c>
      <c r="L173" s="17">
        <v>2.94</v>
      </c>
      <c r="M173" s="20">
        <v>142</v>
      </c>
      <c r="N173" s="18">
        <v>60</v>
      </c>
    </row>
    <row r="174" spans="1:14" x14ac:dyDescent="0.25">
      <c r="A174" s="23">
        <v>2008</v>
      </c>
      <c r="B174" s="24" t="s">
        <v>23</v>
      </c>
      <c r="C174" s="24" t="s">
        <v>22</v>
      </c>
      <c r="D174" s="24" t="s">
        <v>21</v>
      </c>
      <c r="E174" s="25">
        <v>4022</v>
      </c>
      <c r="F174" s="24">
        <v>3823</v>
      </c>
      <c r="G174" s="26">
        <f t="shared" si="4"/>
        <v>-4.9477871705619098E-2</v>
      </c>
      <c r="H174" s="25">
        <v>44830</v>
      </c>
      <c r="I174" s="27">
        <v>36641</v>
      </c>
      <c r="J174" s="28">
        <f t="shared" si="5"/>
        <v>-0.18266785634619676</v>
      </c>
      <c r="K174" s="29">
        <v>10.3</v>
      </c>
      <c r="L174" s="24">
        <v>-1.75</v>
      </c>
      <c r="M174" s="27">
        <v>77</v>
      </c>
      <c r="N174" s="25">
        <v>67</v>
      </c>
    </row>
    <row r="175" spans="1:14" x14ac:dyDescent="0.25">
      <c r="A175" s="16">
        <v>2008</v>
      </c>
      <c r="B175" s="17" t="s">
        <v>14</v>
      </c>
      <c r="C175" s="17" t="s">
        <v>15</v>
      </c>
      <c r="D175" s="17" t="s">
        <v>16</v>
      </c>
      <c r="E175" s="18">
        <v>3849</v>
      </c>
      <c r="F175" s="17">
        <v>3633</v>
      </c>
      <c r="G175" s="19">
        <f t="shared" si="4"/>
        <v>-5.6118472330475448E-2</v>
      </c>
      <c r="H175" s="18">
        <v>58966</v>
      </c>
      <c r="I175" s="20">
        <v>52797</v>
      </c>
      <c r="J175" s="21">
        <f t="shared" si="5"/>
        <v>-0.10461961130142794</v>
      </c>
      <c r="K175" s="22">
        <v>4.26</v>
      </c>
      <c r="L175" s="17">
        <v>-4.28</v>
      </c>
      <c r="M175" s="20">
        <v>288</v>
      </c>
      <c r="N175" s="18">
        <v>177</v>
      </c>
    </row>
    <row r="176" spans="1:14" x14ac:dyDescent="0.25">
      <c r="A176" s="23">
        <v>2008</v>
      </c>
      <c r="B176" s="24" t="s">
        <v>17</v>
      </c>
      <c r="C176" s="24" t="s">
        <v>20</v>
      </c>
      <c r="D176" s="24" t="s">
        <v>16</v>
      </c>
      <c r="E176" s="25">
        <v>2442</v>
      </c>
      <c r="F176" s="24">
        <v>2112</v>
      </c>
      <c r="G176" s="26">
        <f t="shared" si="4"/>
        <v>-0.13513513513513514</v>
      </c>
      <c r="H176" s="25">
        <v>32381</v>
      </c>
      <c r="I176" s="27">
        <v>25189</v>
      </c>
      <c r="J176" s="28">
        <f t="shared" si="5"/>
        <v>-0.22210555572712393</v>
      </c>
      <c r="K176" s="29">
        <v>7.43</v>
      </c>
      <c r="L176" s="24">
        <v>-4.22</v>
      </c>
      <c r="M176" s="27">
        <v>194</v>
      </c>
      <c r="N176" s="25">
        <v>14</v>
      </c>
    </row>
    <row r="177" spans="1:14" x14ac:dyDescent="0.25">
      <c r="A177" s="16">
        <v>2021</v>
      </c>
      <c r="B177" s="17" t="s">
        <v>17</v>
      </c>
      <c r="C177" s="17" t="s">
        <v>18</v>
      </c>
      <c r="D177" s="17" t="s">
        <v>21</v>
      </c>
      <c r="E177" s="18">
        <v>2362</v>
      </c>
      <c r="F177" s="17">
        <v>2162</v>
      </c>
      <c r="G177" s="19">
        <f t="shared" si="4"/>
        <v>-8.4674005080440304E-2</v>
      </c>
      <c r="H177" s="18">
        <v>62575</v>
      </c>
      <c r="I177" s="20">
        <v>54784</v>
      </c>
      <c r="J177" s="21">
        <f t="shared" si="5"/>
        <v>-0.12450659208949261</v>
      </c>
      <c r="K177" s="22">
        <v>8.73</v>
      </c>
      <c r="L177" s="17">
        <v>-1.38</v>
      </c>
      <c r="M177" s="20">
        <v>185</v>
      </c>
      <c r="N177" s="18">
        <v>169</v>
      </c>
    </row>
    <row r="178" spans="1:14" x14ac:dyDescent="0.25">
      <c r="A178" s="23">
        <v>2020</v>
      </c>
      <c r="B178" s="24" t="s">
        <v>23</v>
      </c>
      <c r="C178" s="24" t="s">
        <v>20</v>
      </c>
      <c r="D178" s="24" t="s">
        <v>25</v>
      </c>
      <c r="E178" s="25">
        <v>1982</v>
      </c>
      <c r="F178" s="24">
        <v>1738</v>
      </c>
      <c r="G178" s="26">
        <f t="shared" si="4"/>
        <v>-0.12310797174571141</v>
      </c>
      <c r="H178" s="25">
        <v>91361</v>
      </c>
      <c r="I178" s="27">
        <v>86276</v>
      </c>
      <c r="J178" s="28">
        <f t="shared" si="5"/>
        <v>-5.5658322478957106E-2</v>
      </c>
      <c r="K178" s="29">
        <v>11.24</v>
      </c>
      <c r="L178" s="24">
        <v>2.74</v>
      </c>
      <c r="M178" s="27">
        <v>48</v>
      </c>
      <c r="N178" s="25">
        <v>196</v>
      </c>
    </row>
    <row r="179" spans="1:14" x14ac:dyDescent="0.25">
      <c r="A179" s="16">
        <v>2021</v>
      </c>
      <c r="B179" s="17" t="s">
        <v>17</v>
      </c>
      <c r="C179" s="17" t="s">
        <v>15</v>
      </c>
      <c r="D179" s="17" t="s">
        <v>16</v>
      </c>
      <c r="E179" s="18">
        <v>2043</v>
      </c>
      <c r="F179" s="17">
        <v>1846</v>
      </c>
      <c r="G179" s="19">
        <f t="shared" si="4"/>
        <v>-9.642682329907E-2</v>
      </c>
      <c r="H179" s="18">
        <v>77410</v>
      </c>
      <c r="I179" s="20">
        <v>69607</v>
      </c>
      <c r="J179" s="21">
        <f t="shared" si="5"/>
        <v>-0.10080093011238858</v>
      </c>
      <c r="K179" s="22">
        <v>5.2</v>
      </c>
      <c r="L179" s="17">
        <v>-4.8899999999999997</v>
      </c>
      <c r="M179" s="20">
        <v>216</v>
      </c>
      <c r="N179" s="18">
        <v>18</v>
      </c>
    </row>
    <row r="180" spans="1:14" x14ac:dyDescent="0.25">
      <c r="A180" s="23">
        <v>2009</v>
      </c>
      <c r="B180" s="24" t="s">
        <v>14</v>
      </c>
      <c r="C180" s="24" t="s">
        <v>18</v>
      </c>
      <c r="D180" s="24" t="s">
        <v>25</v>
      </c>
      <c r="E180" s="25">
        <v>2143</v>
      </c>
      <c r="F180" s="24">
        <v>1843</v>
      </c>
      <c r="G180" s="26">
        <f t="shared" si="4"/>
        <v>-0.1399906672888474</v>
      </c>
      <c r="H180" s="25">
        <v>98409</v>
      </c>
      <c r="I180" s="27">
        <v>92643</v>
      </c>
      <c r="J180" s="28">
        <f t="shared" si="5"/>
        <v>-5.8592201932750054E-2</v>
      </c>
      <c r="K180" s="29">
        <v>9.5500000000000007</v>
      </c>
      <c r="L180" s="24">
        <v>2.48</v>
      </c>
      <c r="M180" s="27">
        <v>233</v>
      </c>
      <c r="N180" s="25">
        <v>87</v>
      </c>
    </row>
    <row r="181" spans="1:14" x14ac:dyDescent="0.25">
      <c r="A181" s="16">
        <v>2020</v>
      </c>
      <c r="B181" s="17" t="s">
        <v>17</v>
      </c>
      <c r="C181" s="17" t="s">
        <v>24</v>
      </c>
      <c r="D181" s="17" t="s">
        <v>25</v>
      </c>
      <c r="E181" s="18">
        <v>1610</v>
      </c>
      <c r="F181" s="17">
        <v>1520</v>
      </c>
      <c r="G181" s="19">
        <f t="shared" si="4"/>
        <v>-5.5900621118012424E-2</v>
      </c>
      <c r="H181" s="18">
        <v>62243</v>
      </c>
      <c r="I181" s="20">
        <v>54715</v>
      </c>
      <c r="J181" s="21">
        <f t="shared" si="5"/>
        <v>-0.12094532718538631</v>
      </c>
      <c r="K181" s="22">
        <v>11.09</v>
      </c>
      <c r="L181" s="17">
        <v>2.16</v>
      </c>
      <c r="M181" s="20">
        <v>217</v>
      </c>
      <c r="N181" s="18">
        <v>64</v>
      </c>
    </row>
    <row r="182" spans="1:14" x14ac:dyDescent="0.25">
      <c r="A182" s="23">
        <v>2021</v>
      </c>
      <c r="B182" s="24" t="s">
        <v>14</v>
      </c>
      <c r="C182" s="24" t="s">
        <v>18</v>
      </c>
      <c r="D182" s="24" t="s">
        <v>16</v>
      </c>
      <c r="E182" s="25">
        <v>610</v>
      </c>
      <c r="F182" s="24">
        <v>135</v>
      </c>
      <c r="G182" s="26">
        <f t="shared" si="4"/>
        <v>-0.77868852459016391</v>
      </c>
      <c r="H182" s="25">
        <v>45598</v>
      </c>
      <c r="I182" s="27">
        <v>38819</v>
      </c>
      <c r="J182" s="28">
        <f t="shared" si="5"/>
        <v>-0.1486688012632133</v>
      </c>
      <c r="K182" s="29">
        <v>6.91</v>
      </c>
      <c r="L182" s="24">
        <v>-1.89</v>
      </c>
      <c r="M182" s="27">
        <v>96</v>
      </c>
      <c r="N182" s="25">
        <v>28</v>
      </c>
    </row>
    <row r="183" spans="1:14" x14ac:dyDescent="0.25">
      <c r="A183" s="16">
        <v>2008</v>
      </c>
      <c r="B183" s="17" t="s">
        <v>23</v>
      </c>
      <c r="C183" s="17" t="s">
        <v>20</v>
      </c>
      <c r="D183" s="17" t="s">
        <v>25</v>
      </c>
      <c r="E183" s="18">
        <v>2855</v>
      </c>
      <c r="F183" s="17">
        <v>2506</v>
      </c>
      <c r="G183" s="19">
        <f t="shared" si="4"/>
        <v>-0.12224168126094571</v>
      </c>
      <c r="H183" s="18">
        <v>55611</v>
      </c>
      <c r="I183" s="20">
        <v>47879</v>
      </c>
      <c r="J183" s="21">
        <f t="shared" si="5"/>
        <v>-0.13903724083364802</v>
      </c>
      <c r="K183" s="22">
        <v>4.2300000000000004</v>
      </c>
      <c r="L183" s="17">
        <v>-4.9000000000000004</v>
      </c>
      <c r="M183" s="20">
        <v>51</v>
      </c>
      <c r="N183" s="18">
        <v>112</v>
      </c>
    </row>
    <row r="184" spans="1:14" x14ac:dyDescent="0.25">
      <c r="A184" s="23">
        <v>2008</v>
      </c>
      <c r="B184" s="24" t="s">
        <v>17</v>
      </c>
      <c r="C184" s="24" t="s">
        <v>20</v>
      </c>
      <c r="D184" s="24" t="s">
        <v>25</v>
      </c>
      <c r="E184" s="25">
        <v>810</v>
      </c>
      <c r="F184" s="24">
        <v>563</v>
      </c>
      <c r="G184" s="26">
        <f t="shared" si="4"/>
        <v>-0.30493827160493825</v>
      </c>
      <c r="H184" s="25">
        <v>74828</v>
      </c>
      <c r="I184" s="27">
        <v>71039</v>
      </c>
      <c r="J184" s="28">
        <f t="shared" si="5"/>
        <v>-5.0636125514513283E-2</v>
      </c>
      <c r="K184" s="29">
        <v>6.64</v>
      </c>
      <c r="L184" s="24">
        <v>2.75</v>
      </c>
      <c r="M184" s="27">
        <v>179</v>
      </c>
      <c r="N184" s="25">
        <v>44</v>
      </c>
    </row>
    <row r="185" spans="1:14" x14ac:dyDescent="0.25">
      <c r="A185" s="16">
        <v>2008</v>
      </c>
      <c r="B185" s="17" t="s">
        <v>23</v>
      </c>
      <c r="C185" s="17" t="s">
        <v>24</v>
      </c>
      <c r="D185" s="17" t="s">
        <v>21</v>
      </c>
      <c r="E185" s="18">
        <v>3830</v>
      </c>
      <c r="F185" s="17">
        <v>3574</v>
      </c>
      <c r="G185" s="19">
        <f t="shared" si="4"/>
        <v>-6.6840731070496082E-2</v>
      </c>
      <c r="H185" s="18">
        <v>54780</v>
      </c>
      <c r="I185" s="20">
        <v>46204</v>
      </c>
      <c r="J185" s="21">
        <f t="shared" si="5"/>
        <v>-0.15655348667396859</v>
      </c>
      <c r="K185" s="22">
        <v>5.26</v>
      </c>
      <c r="L185" s="17">
        <v>0.73</v>
      </c>
      <c r="M185" s="20">
        <v>25</v>
      </c>
      <c r="N185" s="18">
        <v>57</v>
      </c>
    </row>
    <row r="186" spans="1:14" x14ac:dyDescent="0.25">
      <c r="A186" s="23">
        <v>2020</v>
      </c>
      <c r="B186" s="24" t="s">
        <v>14</v>
      </c>
      <c r="C186" s="24" t="s">
        <v>15</v>
      </c>
      <c r="D186" s="24" t="s">
        <v>16</v>
      </c>
      <c r="E186" s="25">
        <v>2694</v>
      </c>
      <c r="F186" s="24">
        <v>2445</v>
      </c>
      <c r="G186" s="26">
        <f t="shared" si="4"/>
        <v>-9.2427616926503336E-2</v>
      </c>
      <c r="H186" s="25">
        <v>77421</v>
      </c>
      <c r="I186" s="27">
        <v>73760</v>
      </c>
      <c r="J186" s="28">
        <f t="shared" si="5"/>
        <v>-4.7286911819790493E-2</v>
      </c>
      <c r="K186" s="29">
        <v>8.69</v>
      </c>
      <c r="L186" s="24">
        <v>0.01</v>
      </c>
      <c r="M186" s="27">
        <v>271</v>
      </c>
      <c r="N186" s="25">
        <v>131</v>
      </c>
    </row>
    <row r="187" spans="1:14" x14ac:dyDescent="0.25">
      <c r="A187" s="16">
        <v>2021</v>
      </c>
      <c r="B187" s="17" t="s">
        <v>19</v>
      </c>
      <c r="C187" s="17" t="s">
        <v>20</v>
      </c>
      <c r="D187" s="17" t="s">
        <v>16</v>
      </c>
      <c r="E187" s="18">
        <v>4323</v>
      </c>
      <c r="F187" s="17">
        <v>3876</v>
      </c>
      <c r="G187" s="19">
        <f t="shared" si="4"/>
        <v>-0.10340041637751561</v>
      </c>
      <c r="H187" s="18">
        <v>64059</v>
      </c>
      <c r="I187" s="20">
        <v>61480</v>
      </c>
      <c r="J187" s="21">
        <f t="shared" si="5"/>
        <v>-4.0259760533258401E-2</v>
      </c>
      <c r="K187" s="22">
        <v>4.8</v>
      </c>
      <c r="L187" s="17">
        <v>-0.55000000000000004</v>
      </c>
      <c r="M187" s="20">
        <v>217</v>
      </c>
      <c r="N187" s="18">
        <v>175</v>
      </c>
    </row>
    <row r="188" spans="1:14" x14ac:dyDescent="0.25">
      <c r="A188" s="23">
        <v>2009</v>
      </c>
      <c r="B188" s="24" t="s">
        <v>19</v>
      </c>
      <c r="C188" s="24" t="s">
        <v>18</v>
      </c>
      <c r="D188" s="24" t="s">
        <v>25</v>
      </c>
      <c r="E188" s="25">
        <v>1754</v>
      </c>
      <c r="F188" s="24">
        <v>1583</v>
      </c>
      <c r="G188" s="26">
        <f t="shared" si="4"/>
        <v>-9.7491448118586094E-2</v>
      </c>
      <c r="H188" s="25">
        <v>98358</v>
      </c>
      <c r="I188" s="27">
        <v>95580</v>
      </c>
      <c r="J188" s="28">
        <f t="shared" si="5"/>
        <v>-2.8243762581589702E-2</v>
      </c>
      <c r="K188" s="29">
        <v>6.04</v>
      </c>
      <c r="L188" s="24">
        <v>-0.04</v>
      </c>
      <c r="M188" s="27">
        <v>48</v>
      </c>
      <c r="N188" s="25">
        <v>5</v>
      </c>
    </row>
    <row r="189" spans="1:14" x14ac:dyDescent="0.25">
      <c r="A189" s="16">
        <v>2021</v>
      </c>
      <c r="B189" s="17" t="s">
        <v>17</v>
      </c>
      <c r="C189" s="17" t="s">
        <v>18</v>
      </c>
      <c r="D189" s="17" t="s">
        <v>21</v>
      </c>
      <c r="E189" s="18">
        <v>4359</v>
      </c>
      <c r="F189" s="17">
        <v>4271</v>
      </c>
      <c r="G189" s="19">
        <f t="shared" si="4"/>
        <v>-2.0188116540490939E-2</v>
      </c>
      <c r="H189" s="18">
        <v>31801</v>
      </c>
      <c r="I189" s="20">
        <v>24218</v>
      </c>
      <c r="J189" s="21">
        <f t="shared" si="5"/>
        <v>-0.23845162101820697</v>
      </c>
      <c r="K189" s="22">
        <v>6.35</v>
      </c>
      <c r="L189" s="17">
        <v>0.25</v>
      </c>
      <c r="M189" s="20">
        <v>274</v>
      </c>
      <c r="N189" s="18">
        <v>124</v>
      </c>
    </row>
    <row r="190" spans="1:14" x14ac:dyDescent="0.25">
      <c r="A190" s="23">
        <v>2021</v>
      </c>
      <c r="B190" s="24" t="s">
        <v>17</v>
      </c>
      <c r="C190" s="24" t="s">
        <v>22</v>
      </c>
      <c r="D190" s="24" t="s">
        <v>25</v>
      </c>
      <c r="E190" s="25">
        <v>1493</v>
      </c>
      <c r="F190" s="24">
        <v>1168</v>
      </c>
      <c r="G190" s="26">
        <f t="shared" si="4"/>
        <v>-0.21768251841929001</v>
      </c>
      <c r="H190" s="25">
        <v>53418</v>
      </c>
      <c r="I190" s="27">
        <v>48132</v>
      </c>
      <c r="J190" s="28">
        <f t="shared" si="5"/>
        <v>-9.8955408289340671E-2</v>
      </c>
      <c r="K190" s="29">
        <v>9.76</v>
      </c>
      <c r="L190" s="24">
        <v>0.95</v>
      </c>
      <c r="M190" s="27">
        <v>90</v>
      </c>
      <c r="N190" s="25">
        <v>195</v>
      </c>
    </row>
    <row r="191" spans="1:14" x14ac:dyDescent="0.25">
      <c r="A191" s="16">
        <v>2020</v>
      </c>
      <c r="B191" s="17" t="s">
        <v>14</v>
      </c>
      <c r="C191" s="17" t="s">
        <v>24</v>
      </c>
      <c r="D191" s="17" t="s">
        <v>16</v>
      </c>
      <c r="E191" s="18">
        <v>2022</v>
      </c>
      <c r="F191" s="17">
        <v>1735</v>
      </c>
      <c r="G191" s="19">
        <f t="shared" si="4"/>
        <v>-0.14193867457962414</v>
      </c>
      <c r="H191" s="18">
        <v>33718</v>
      </c>
      <c r="I191" s="20">
        <v>31873</v>
      </c>
      <c r="J191" s="21">
        <f t="shared" si="5"/>
        <v>-5.4718547956581057E-2</v>
      </c>
      <c r="K191" s="22">
        <v>7.93</v>
      </c>
      <c r="L191" s="17">
        <v>2.4700000000000002</v>
      </c>
      <c r="M191" s="20">
        <v>198</v>
      </c>
      <c r="N191" s="18">
        <v>146</v>
      </c>
    </row>
    <row r="192" spans="1:14" x14ac:dyDescent="0.25">
      <c r="A192" s="23">
        <v>2021</v>
      </c>
      <c r="B192" s="24" t="s">
        <v>14</v>
      </c>
      <c r="C192" s="24" t="s">
        <v>22</v>
      </c>
      <c r="D192" s="24" t="s">
        <v>16</v>
      </c>
      <c r="E192" s="25">
        <v>2454</v>
      </c>
      <c r="F192" s="24">
        <v>2281</v>
      </c>
      <c r="G192" s="26">
        <f t="shared" si="4"/>
        <v>-7.0497147514262434E-2</v>
      </c>
      <c r="H192" s="25">
        <v>78732</v>
      </c>
      <c r="I192" s="27">
        <v>69254</v>
      </c>
      <c r="J192" s="28">
        <f t="shared" si="5"/>
        <v>-0.12038307168622669</v>
      </c>
      <c r="K192" s="29">
        <v>4.3</v>
      </c>
      <c r="L192" s="24">
        <v>-2.9</v>
      </c>
      <c r="M192" s="27">
        <v>235</v>
      </c>
      <c r="N192" s="25">
        <v>70</v>
      </c>
    </row>
    <row r="193" spans="1:14" x14ac:dyDescent="0.25">
      <c r="A193" s="16">
        <v>2008</v>
      </c>
      <c r="B193" s="17" t="s">
        <v>19</v>
      </c>
      <c r="C193" s="17" t="s">
        <v>20</v>
      </c>
      <c r="D193" s="17" t="s">
        <v>25</v>
      </c>
      <c r="E193" s="18">
        <v>1819</v>
      </c>
      <c r="F193" s="17">
        <v>1420</v>
      </c>
      <c r="G193" s="19">
        <f t="shared" si="4"/>
        <v>-0.21935129191863662</v>
      </c>
      <c r="H193" s="18">
        <v>70142</v>
      </c>
      <c r="I193" s="20">
        <v>60838</v>
      </c>
      <c r="J193" s="21">
        <f t="shared" si="5"/>
        <v>-0.13264520544039235</v>
      </c>
      <c r="K193" s="22">
        <v>6.98</v>
      </c>
      <c r="L193" s="17">
        <v>-2.63</v>
      </c>
      <c r="M193" s="20">
        <v>20</v>
      </c>
      <c r="N193" s="18">
        <v>9</v>
      </c>
    </row>
    <row r="194" spans="1:14" x14ac:dyDescent="0.25">
      <c r="A194" s="23">
        <v>2021</v>
      </c>
      <c r="B194" s="24" t="s">
        <v>14</v>
      </c>
      <c r="C194" s="24" t="s">
        <v>24</v>
      </c>
      <c r="D194" s="24" t="s">
        <v>16</v>
      </c>
      <c r="E194" s="25">
        <v>3186</v>
      </c>
      <c r="F194" s="24">
        <v>2706</v>
      </c>
      <c r="G194" s="26">
        <f t="shared" si="4"/>
        <v>-0.15065913370998116</v>
      </c>
      <c r="H194" s="25">
        <v>70914</v>
      </c>
      <c r="I194" s="27">
        <v>64214</v>
      </c>
      <c r="J194" s="28">
        <f t="shared" si="5"/>
        <v>-9.4480638519897339E-2</v>
      </c>
      <c r="K194" s="29">
        <v>11.85</v>
      </c>
      <c r="L194" s="24">
        <v>-1.02</v>
      </c>
      <c r="M194" s="27">
        <v>244</v>
      </c>
      <c r="N194" s="25">
        <v>82</v>
      </c>
    </row>
    <row r="195" spans="1:14" x14ac:dyDescent="0.25">
      <c r="A195" s="16">
        <v>2020</v>
      </c>
      <c r="B195" s="17" t="s">
        <v>17</v>
      </c>
      <c r="C195" s="17" t="s">
        <v>22</v>
      </c>
      <c r="D195" s="17" t="s">
        <v>16</v>
      </c>
      <c r="E195" s="18">
        <v>3881</v>
      </c>
      <c r="F195" s="17">
        <v>3424</v>
      </c>
      <c r="G195" s="19">
        <f t="shared" ref="G195:G201" si="6">(F195-E195)/E195</f>
        <v>-0.11775315640298892</v>
      </c>
      <c r="H195" s="18">
        <v>88156</v>
      </c>
      <c r="I195" s="20">
        <v>79256</v>
      </c>
      <c r="J195" s="21">
        <f t="shared" ref="J195:J201" si="7">(I195-H195)/H195</f>
        <v>-0.10095739371114842</v>
      </c>
      <c r="K195" s="22">
        <v>6.68</v>
      </c>
      <c r="L195" s="17">
        <v>2.99</v>
      </c>
      <c r="M195" s="20">
        <v>283</v>
      </c>
      <c r="N195" s="18">
        <v>95</v>
      </c>
    </row>
    <row r="196" spans="1:14" x14ac:dyDescent="0.25">
      <c r="A196" s="23">
        <v>2008</v>
      </c>
      <c r="B196" s="24" t="s">
        <v>17</v>
      </c>
      <c r="C196" s="24" t="s">
        <v>20</v>
      </c>
      <c r="D196" s="24" t="s">
        <v>25</v>
      </c>
      <c r="E196" s="25">
        <v>3091</v>
      </c>
      <c r="F196" s="24">
        <v>2946</v>
      </c>
      <c r="G196" s="26">
        <f t="shared" si="6"/>
        <v>-4.6910384988676807E-2</v>
      </c>
      <c r="H196" s="25">
        <v>68943</v>
      </c>
      <c r="I196" s="27">
        <v>61970</v>
      </c>
      <c r="J196" s="28">
        <f t="shared" si="7"/>
        <v>-0.10114152270716389</v>
      </c>
      <c r="K196" s="29">
        <v>8.86</v>
      </c>
      <c r="L196" s="24">
        <v>-4.9800000000000004</v>
      </c>
      <c r="M196" s="27">
        <v>11</v>
      </c>
      <c r="N196" s="25">
        <v>156</v>
      </c>
    </row>
    <row r="197" spans="1:14" x14ac:dyDescent="0.25">
      <c r="A197" s="16">
        <v>2009</v>
      </c>
      <c r="B197" s="17" t="s">
        <v>17</v>
      </c>
      <c r="C197" s="17" t="s">
        <v>20</v>
      </c>
      <c r="D197" s="17" t="s">
        <v>21</v>
      </c>
      <c r="E197" s="18">
        <v>1008</v>
      </c>
      <c r="F197" s="17">
        <v>717</v>
      </c>
      <c r="G197" s="19">
        <f t="shared" si="6"/>
        <v>-0.28869047619047616</v>
      </c>
      <c r="H197" s="18">
        <v>83473</v>
      </c>
      <c r="I197" s="20">
        <v>76140</v>
      </c>
      <c r="J197" s="21">
        <f t="shared" si="7"/>
        <v>-8.7848765469073831E-2</v>
      </c>
      <c r="K197" s="22">
        <v>4.5199999999999996</v>
      </c>
      <c r="L197" s="17">
        <v>0.93</v>
      </c>
      <c r="M197" s="20">
        <v>35</v>
      </c>
      <c r="N197" s="18">
        <v>151</v>
      </c>
    </row>
    <row r="198" spans="1:14" x14ac:dyDescent="0.25">
      <c r="A198" s="23">
        <v>2021</v>
      </c>
      <c r="B198" s="24" t="s">
        <v>19</v>
      </c>
      <c r="C198" s="24" t="s">
        <v>15</v>
      </c>
      <c r="D198" s="24" t="s">
        <v>21</v>
      </c>
      <c r="E198" s="25">
        <v>2384</v>
      </c>
      <c r="F198" s="24">
        <v>2293</v>
      </c>
      <c r="G198" s="26">
        <f t="shared" si="6"/>
        <v>-3.8171140939597316E-2</v>
      </c>
      <c r="H198" s="25">
        <v>91601</v>
      </c>
      <c r="I198" s="27">
        <v>88682</v>
      </c>
      <c r="J198" s="28">
        <f t="shared" si="7"/>
        <v>-3.1866464339908952E-2</v>
      </c>
      <c r="K198" s="29">
        <v>5.51</v>
      </c>
      <c r="L198" s="24">
        <v>1.1599999999999999</v>
      </c>
      <c r="M198" s="27">
        <v>169</v>
      </c>
      <c r="N198" s="25">
        <v>89</v>
      </c>
    </row>
    <row r="199" spans="1:14" x14ac:dyDescent="0.25">
      <c r="A199" s="16">
        <v>2008</v>
      </c>
      <c r="B199" s="17" t="s">
        <v>23</v>
      </c>
      <c r="C199" s="17" t="s">
        <v>18</v>
      </c>
      <c r="D199" s="17" t="s">
        <v>25</v>
      </c>
      <c r="E199" s="18">
        <v>3963</v>
      </c>
      <c r="F199" s="17">
        <v>3476</v>
      </c>
      <c r="G199" s="19">
        <f t="shared" si="6"/>
        <v>-0.12288670199343932</v>
      </c>
      <c r="H199" s="18">
        <v>99229</v>
      </c>
      <c r="I199" s="20">
        <v>93850</v>
      </c>
      <c r="J199" s="21">
        <f t="shared" si="7"/>
        <v>-5.4207943242398894E-2</v>
      </c>
      <c r="K199" s="22">
        <v>8.48</v>
      </c>
      <c r="L199" s="17">
        <v>-0.09</v>
      </c>
      <c r="M199" s="20">
        <v>163</v>
      </c>
      <c r="N199" s="18">
        <v>173</v>
      </c>
    </row>
    <row r="200" spans="1:14" x14ac:dyDescent="0.25">
      <c r="A200" s="23">
        <v>2009</v>
      </c>
      <c r="B200" s="24" t="s">
        <v>19</v>
      </c>
      <c r="C200" s="24" t="s">
        <v>24</v>
      </c>
      <c r="D200" s="24" t="s">
        <v>21</v>
      </c>
      <c r="E200" s="25">
        <v>2778</v>
      </c>
      <c r="F200" s="24">
        <v>2413</v>
      </c>
      <c r="G200" s="26">
        <f t="shared" si="6"/>
        <v>-0.13138948884089272</v>
      </c>
      <c r="H200" s="25">
        <v>57543</v>
      </c>
      <c r="I200" s="27">
        <v>52941</v>
      </c>
      <c r="J200" s="28">
        <f t="shared" si="7"/>
        <v>-7.9974975235910531E-2</v>
      </c>
      <c r="K200" s="29">
        <v>5.14</v>
      </c>
      <c r="L200" s="24">
        <v>-0.01</v>
      </c>
      <c r="M200" s="27">
        <v>74</v>
      </c>
      <c r="N200" s="25">
        <v>15</v>
      </c>
    </row>
    <row r="201" spans="1:14" x14ac:dyDescent="0.25">
      <c r="A201" s="16">
        <v>2020</v>
      </c>
      <c r="B201" s="17" t="s">
        <v>23</v>
      </c>
      <c r="C201" s="17" t="s">
        <v>18</v>
      </c>
      <c r="D201" s="17" t="s">
        <v>25</v>
      </c>
      <c r="E201" s="18">
        <v>3600</v>
      </c>
      <c r="F201" s="17">
        <v>3497</v>
      </c>
      <c r="G201" s="19">
        <f t="shared" si="6"/>
        <v>-2.8611111111111111E-2</v>
      </c>
      <c r="H201" s="18">
        <v>74212</v>
      </c>
      <c r="I201" s="20">
        <v>72100</v>
      </c>
      <c r="J201" s="21">
        <f t="shared" si="7"/>
        <v>-2.8459009324637526E-2</v>
      </c>
      <c r="K201" s="22">
        <v>6.74</v>
      </c>
      <c r="L201" s="17">
        <v>-4.8499999999999996</v>
      </c>
      <c r="M201" s="20">
        <v>75</v>
      </c>
      <c r="N201" s="18">
        <v>56</v>
      </c>
    </row>
    <row r="202" spans="1:14" x14ac:dyDescent="0.25">
      <c r="E202"/>
      <c r="F202" s="1"/>
      <c r="G202" s="1"/>
      <c r="I202" s="1"/>
      <c r="J202" s="1"/>
      <c r="K202" s="1"/>
      <c r="L202" s="1"/>
      <c r="M202" s="1"/>
      <c r="N202" s="1"/>
    </row>
    <row r="204" spans="1:14" x14ac:dyDescent="0.25">
      <c r="F204" s="3"/>
    </row>
    <row r="205" spans="1:14" x14ac:dyDescent="0.25">
      <c r="F2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SOUMITH CHINNA</dc:creator>
  <cp:lastModifiedBy>SOUMITH CHINNA</cp:lastModifiedBy>
  <dcterms:created xsi:type="dcterms:W3CDTF">2026-04-13T08:12:58Z</dcterms:created>
  <dcterms:modified xsi:type="dcterms:W3CDTF">2026-04-13T08:16:58Z</dcterms:modified>
</cp:coreProperties>
</file>